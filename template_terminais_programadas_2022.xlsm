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assilveira\Desktop\Github\"/>
    </mc:Choice>
  </mc:AlternateContent>
  <bookViews>
    <workbookView xWindow="0" yWindow="0" windowWidth="20490" windowHeight="7560" tabRatio="657" activeTab="5"/>
  </bookViews>
  <sheets>
    <sheet name="DIário" sheetId="4" r:id="rId1"/>
    <sheet name="Semanal" sheetId="9" r:id="rId2"/>
    <sheet name="ÁREAS CRÍTICAS" sheetId="3" r:id="rId3"/>
    <sheet name="SEMI CRÍTICAS" sheetId="2" r:id="rId4"/>
    <sheet name="Relatório Diário" sheetId="7" r:id="rId5"/>
    <sheet name="Indicador" sheetId="8" r:id="rId6"/>
  </sheets>
  <functionGroups builtInGroupCount="18"/>
  <definedNames>
    <definedName name="_xlnm._FilterDatabase" localSheetId="3" hidden="1">'SEMI CRÍTICAS'!$E$67:$F$102</definedName>
    <definedName name="_xlnm.Print_Area" localSheetId="2">'ÁREAS CRÍTICAS'!$A:$NF</definedName>
    <definedName name="_xlnm.Print_Area" localSheetId="3">'SEMI CRÍTICAS'!$A:$NF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0" i="8" l="1"/>
  <c r="N19" i="8"/>
  <c r="N18" i="8"/>
  <c r="M20" i="8"/>
  <c r="M19" i="8"/>
  <c r="M18" i="8"/>
  <c r="L20" i="8"/>
  <c r="L19" i="8"/>
  <c r="L18" i="8"/>
  <c r="K20" i="8"/>
  <c r="K19" i="8"/>
  <c r="K18" i="8"/>
  <c r="J20" i="8"/>
  <c r="J19" i="8"/>
  <c r="J18" i="8"/>
  <c r="I20" i="8"/>
  <c r="I19" i="8"/>
  <c r="I18" i="8"/>
  <c r="H20" i="8"/>
  <c r="H19" i="8"/>
  <c r="H18" i="8"/>
  <c r="G20" i="8"/>
  <c r="G19" i="8"/>
  <c r="G18" i="8"/>
  <c r="F20" i="8"/>
  <c r="F19" i="8"/>
  <c r="F18" i="8"/>
  <c r="E20" i="8"/>
  <c r="E19" i="8"/>
  <c r="E18" i="8"/>
  <c r="D20" i="8"/>
  <c r="D19" i="8"/>
  <c r="D18" i="8"/>
  <c r="C20" i="8"/>
  <c r="C19" i="8"/>
  <c r="C18" i="8"/>
  <c r="N8" i="8"/>
  <c r="N7" i="8"/>
  <c r="N6" i="8"/>
  <c r="M8" i="8"/>
  <c r="M7" i="8"/>
  <c r="M6" i="8"/>
  <c r="L8" i="8"/>
  <c r="L7" i="8"/>
  <c r="L6" i="8"/>
  <c r="K8" i="8"/>
  <c r="K7" i="8"/>
  <c r="K6" i="8"/>
  <c r="J8" i="8"/>
  <c r="J7" i="8"/>
  <c r="J6" i="8"/>
  <c r="I8" i="8"/>
  <c r="I7" i="8"/>
  <c r="I6" i="8"/>
  <c r="H8" i="8"/>
  <c r="H7" i="8"/>
  <c r="H6" i="8"/>
  <c r="G8" i="8"/>
  <c r="G7" i="8"/>
  <c r="G6" i="8"/>
  <c r="F8" i="8"/>
  <c r="F7" i="8"/>
  <c r="F6" i="8"/>
  <c r="E8" i="8"/>
  <c r="E7" i="8"/>
  <c r="E6" i="8"/>
  <c r="D8" i="8"/>
  <c r="D7" i="8"/>
  <c r="D6" i="8"/>
  <c r="C8" i="8"/>
  <c r="C7" i="8"/>
  <c r="C6" i="8"/>
  <c r="K14" i="9" l="1"/>
  <c r="J14" i="9"/>
  <c r="I14" i="9"/>
  <c r="H14" i="9"/>
  <c r="G14" i="9"/>
  <c r="F14" i="9"/>
  <c r="E14" i="9"/>
  <c r="AK25" i="7" l="1"/>
  <c r="AK27" i="7"/>
  <c r="AK26" i="7"/>
  <c r="AK21" i="7"/>
  <c r="AK20" i="7"/>
  <c r="AK19" i="7"/>
  <c r="AK18" i="7"/>
  <c r="N24" i="8" l="1"/>
  <c r="N23" i="8"/>
  <c r="N22" i="8"/>
  <c r="M24" i="8"/>
  <c r="M23" i="8"/>
  <c r="M22" i="8"/>
  <c r="L24" i="8"/>
  <c r="L23" i="8"/>
  <c r="L22" i="8"/>
  <c r="K24" i="8"/>
  <c r="K23" i="8"/>
  <c r="K22" i="8"/>
  <c r="J24" i="8"/>
  <c r="J23" i="8"/>
  <c r="J22" i="8"/>
  <c r="I24" i="8"/>
  <c r="I23" i="8"/>
  <c r="I22" i="8"/>
  <c r="H24" i="8"/>
  <c r="H23" i="8"/>
  <c r="H22" i="8"/>
  <c r="G24" i="8"/>
  <c r="G23" i="8"/>
  <c r="G22" i="8"/>
  <c r="F24" i="8"/>
  <c r="F23" i="8"/>
  <c r="F22" i="8"/>
  <c r="E24" i="8"/>
  <c r="E23" i="8"/>
  <c r="E22" i="8"/>
  <c r="D24" i="8"/>
  <c r="D23" i="8"/>
  <c r="D22" i="8"/>
  <c r="C24" i="8"/>
  <c r="C23" i="8"/>
  <c r="C22" i="8"/>
  <c r="C10" i="8"/>
  <c r="D21" i="8"/>
  <c r="E21" i="8"/>
  <c r="F21" i="8"/>
  <c r="G21" i="8"/>
  <c r="H21" i="8"/>
  <c r="I21" i="8"/>
  <c r="J21" i="8"/>
  <c r="K21" i="8"/>
  <c r="L21" i="8"/>
  <c r="M21" i="8"/>
  <c r="N21" i="8"/>
  <c r="C21" i="8"/>
  <c r="E12" i="8"/>
  <c r="H11" i="8"/>
  <c r="L9" i="8"/>
  <c r="L10" i="8"/>
  <c r="M11" i="8"/>
  <c r="F12" i="8"/>
  <c r="H12" i="8"/>
  <c r="L11" i="8"/>
  <c r="K9" i="8"/>
  <c r="K10" i="8"/>
  <c r="E11" i="8"/>
  <c r="F9" i="8"/>
  <c r="F10" i="8"/>
  <c r="G12" i="8"/>
  <c r="I10" i="8"/>
  <c r="I9" i="8"/>
  <c r="J11" i="8"/>
  <c r="L12" i="8"/>
  <c r="N10" i="8"/>
  <c r="N9" i="8"/>
  <c r="K11" i="8"/>
  <c r="D12" i="8"/>
  <c r="G9" i="8"/>
  <c r="G10" i="8"/>
  <c r="I12" i="8"/>
  <c r="N12" i="8"/>
  <c r="D11" i="8"/>
  <c r="G11" i="8"/>
  <c r="J9" i="8"/>
  <c r="J10" i="8"/>
  <c r="M12" i="8"/>
  <c r="E9" i="8"/>
  <c r="E10" i="8"/>
  <c r="D10" i="8"/>
  <c r="D9" i="8"/>
  <c r="F11" i="8"/>
  <c r="H10" i="8"/>
  <c r="H9" i="8"/>
  <c r="I11" i="8"/>
  <c r="J12" i="8"/>
  <c r="M10" i="8"/>
  <c r="M9" i="8"/>
  <c r="N11" i="8"/>
  <c r="K12" i="8"/>
  <c r="C11" i="8"/>
  <c r="C12" i="8"/>
  <c r="C9" i="8"/>
  <c r="L41" i="7"/>
  <c r="B41" i="7"/>
  <c r="L17" i="7"/>
  <c r="B17" i="7"/>
  <c r="L25" i="8" l="1"/>
  <c r="H25" i="8"/>
  <c r="D25" i="8"/>
  <c r="E25" i="8"/>
  <c r="M25" i="8"/>
  <c r="I25" i="8"/>
  <c r="N25" i="8"/>
  <c r="J25" i="8"/>
  <c r="F25" i="8"/>
  <c r="K25" i="8"/>
  <c r="G25" i="8"/>
  <c r="C25" i="8"/>
  <c r="H13" i="8"/>
  <c r="D13" i="8"/>
  <c r="M13" i="8"/>
  <c r="E13" i="8"/>
  <c r="K13" i="8"/>
  <c r="J13" i="8"/>
  <c r="F13" i="8"/>
  <c r="G13" i="8"/>
  <c r="N13" i="8"/>
  <c r="I13" i="8"/>
  <c r="L13" i="8"/>
  <c r="C13" i="8"/>
  <c r="NC64" i="3"/>
  <c r="A5" i="3"/>
  <c r="A4" i="3" s="1"/>
  <c r="NC74" i="2"/>
  <c r="A5" i="2"/>
  <c r="A4" i="2" s="1"/>
</calcChain>
</file>

<file path=xl/comments1.xml><?xml version="1.0" encoding="utf-8"?>
<comments xmlns="http://schemas.openxmlformats.org/spreadsheetml/2006/main">
  <authors>
    <author>Lucas</author>
  </authors>
  <commentList>
    <comment ref="B27" authorId="0" shapeId="0">
      <text>
        <r>
          <rPr>
            <b/>
            <sz val="11"/>
            <color indexed="8"/>
            <rFont val="Constantia"/>
            <family val="1"/>
          </rPr>
          <t>Lucas</t>
        </r>
        <r>
          <rPr>
            <sz val="11"/>
            <color indexed="8"/>
            <rFont val="Constantia"/>
            <family val="1"/>
          </rPr>
          <t>:
Leito divisão da enfermaria 10 aberto esporádicamente</t>
        </r>
      </text>
    </comment>
  </commentList>
</comments>
</file>

<file path=xl/comments2.xml><?xml version="1.0" encoding="utf-8"?>
<comments xmlns="http://schemas.openxmlformats.org/spreadsheetml/2006/main">
  <authors>
    <author>Lucas</author>
  </authors>
  <commentList>
    <comment ref="B18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521 aberto esporádicamente</t>
        </r>
      </text>
    </comment>
    <comment ref="B20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523 aberto esporádicamente</t>
        </r>
      </text>
    </comment>
    <comment ref="B22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525 aberto esporádicamente</t>
        </r>
      </text>
    </comment>
    <comment ref="B24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527 aberto esporádicamente</t>
        </r>
      </text>
    </comment>
    <comment ref="B28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421 aberto esporádicamente</t>
        </r>
      </text>
    </comment>
    <comment ref="B30" authorId="0" shapeId="0">
      <text>
        <r>
          <rPr>
            <b/>
            <sz val="11"/>
            <color indexed="81"/>
            <rFont val="Constantia"/>
            <family val="1"/>
          </rPr>
          <t>Lucas:</t>
        </r>
        <r>
          <rPr>
            <sz val="11"/>
            <color indexed="81"/>
            <rFont val="Constantia"/>
            <family val="1"/>
          </rPr>
          <t xml:space="preserve">
Leito divisão da enfermaria 423 aberto esporádicamente</t>
        </r>
      </text>
    </comment>
    <comment ref="B32" authorId="0" shapeId="0">
      <text>
        <r>
          <rPr>
            <b/>
            <sz val="11"/>
            <color indexed="81"/>
            <rFont val="Segoe UI"/>
            <family val="2"/>
          </rPr>
          <t>Lucas:</t>
        </r>
        <r>
          <rPr>
            <sz val="11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Constantia"/>
            <family val="1"/>
          </rPr>
          <t>Leito divisão da enfermaria 425 aberto esporádicamente</t>
        </r>
      </text>
    </comment>
    <comment ref="B34" authorId="0" shapeId="0">
      <text>
        <r>
          <rPr>
            <b/>
            <sz val="10"/>
            <color indexed="81"/>
            <rFont val="Constantia"/>
            <family val="1"/>
          </rPr>
          <t>Lucas: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Constantia"/>
            <family val="1"/>
          </rPr>
          <t>Leito divisão da enfermaria 427 aberto esporádicamente</t>
        </r>
      </text>
    </comment>
    <comment ref="B36" authorId="0" shapeId="0">
      <text>
        <r>
          <rPr>
            <b/>
            <sz val="9"/>
            <color indexed="81"/>
            <rFont val="Segoe UI"/>
            <family val="2"/>
          </rPr>
          <t>Lucas: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1"/>
            <color indexed="81"/>
            <rFont val="Constantia"/>
            <family val="1"/>
          </rPr>
          <t>Leito divisão da enfermaria 429 aberto esporádicamente</t>
        </r>
      </text>
    </comment>
    <comment ref="B38" authorId="0" shapeId="0">
      <text>
        <r>
          <rPr>
            <b/>
            <sz val="11"/>
            <color indexed="81"/>
            <rFont val="Constantia"/>
            <family val="1"/>
          </rPr>
          <t xml:space="preserve">Lucas:
</t>
        </r>
        <r>
          <rPr>
            <sz val="11"/>
            <color indexed="81"/>
            <rFont val="Constantia"/>
            <family val="1"/>
          </rPr>
          <t xml:space="preserve">Leito divisão da enfermaria 431 aberto esporádicamente
</t>
        </r>
      </text>
    </comment>
  </commentList>
</comments>
</file>

<file path=xl/sharedStrings.xml><?xml version="1.0" encoding="utf-8"?>
<sst xmlns="http://schemas.openxmlformats.org/spreadsheetml/2006/main" count="3052" uniqueCount="81">
  <si>
    <t>Segunda-feira</t>
  </si>
  <si>
    <t>Terça-feira</t>
  </si>
  <si>
    <t>Quarta-feira</t>
  </si>
  <si>
    <t>Quinta-feira</t>
  </si>
  <si>
    <t>Sexta-feira</t>
  </si>
  <si>
    <t>Sábado</t>
  </si>
  <si>
    <t>Domingo</t>
  </si>
  <si>
    <t>TMO</t>
  </si>
  <si>
    <t xml:space="preserve">                               DIA
INTERNAÇÃO</t>
  </si>
  <si>
    <t>UTI</t>
  </si>
  <si>
    <t>PA</t>
  </si>
  <si>
    <t>7º andar</t>
  </si>
  <si>
    <t>5º andar</t>
  </si>
  <si>
    <t>4º andar</t>
  </si>
  <si>
    <t>4ºandar</t>
  </si>
  <si>
    <t>7ºandar</t>
  </si>
  <si>
    <t>5ºandar</t>
  </si>
  <si>
    <t>7º Andar</t>
  </si>
  <si>
    <t>5º Andar Internação</t>
  </si>
  <si>
    <t>4º Andar internação</t>
  </si>
  <si>
    <t>Terminais Realizadas Ontem</t>
  </si>
  <si>
    <t>44562</t>
  </si>
  <si>
    <t>Terminais Programadas Áreas Semi Críticas</t>
  </si>
  <si>
    <t xml:space="preserve">Reprogramadas </t>
  </si>
  <si>
    <t>Dias em Atraso</t>
  </si>
  <si>
    <t>7º Internação</t>
  </si>
  <si>
    <t xml:space="preserve">5º Convênio </t>
  </si>
  <si>
    <t>4º Internação</t>
  </si>
  <si>
    <t>001V</t>
  </si>
  <si>
    <t>002V</t>
  </si>
  <si>
    <t>2º Andar QT</t>
  </si>
  <si>
    <t>Terminais Programadas Áreas Críticas</t>
  </si>
  <si>
    <t xml:space="preserve">TMO </t>
  </si>
  <si>
    <t>CRONOGRAMA</t>
  </si>
  <si>
    <t>PROGRAMADAS RECUSADAS</t>
  </si>
  <si>
    <t>Sem leito para remanejo</t>
  </si>
  <si>
    <t>4º Andar leitos :</t>
  </si>
  <si>
    <t>7º Andar leitos :</t>
  </si>
  <si>
    <t>2º Andar QT leitos :</t>
  </si>
  <si>
    <t>UTI leitos :</t>
  </si>
  <si>
    <t>TMO leitos :</t>
  </si>
  <si>
    <t>PA leitos :</t>
  </si>
  <si>
    <t>Pronto atendimento</t>
  </si>
  <si>
    <t xml:space="preserve">4º Internação </t>
  </si>
  <si>
    <t>5º Andar</t>
  </si>
  <si>
    <t>5º Andar leitos :</t>
  </si>
  <si>
    <t>TMO - 504</t>
  </si>
  <si>
    <t>TMO - 507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</si>
  <si>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</si>
  <si>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</si>
  <si>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</si>
  <si>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</si>
  <si>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</si>
  <si>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</si>
  <si>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</si>
  <si>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</si>
  <si>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</si>
  <si>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</si>
  <si>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</si>
  <si>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</si>
  <si>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Nº de Terminais Programadas TMO</t>
  </si>
  <si>
    <t>Nº de Terminais Programadas UTI</t>
  </si>
  <si>
    <t>Nº de Terminais Programadas PA</t>
  </si>
  <si>
    <t xml:space="preserve">Nº Total de Terminais Programadas </t>
  </si>
  <si>
    <t>Nº Total de Terminais Programadas Realizadas no prazo</t>
  </si>
  <si>
    <t>Nº  de Terminais Programadas Realizadas no prazo TMO</t>
  </si>
  <si>
    <t>Nº  de Terminais Programadas Realizadas no prazo UTI</t>
  </si>
  <si>
    <t>Nº  de Terminais Programadas Realizadas no prazo PA</t>
  </si>
  <si>
    <t xml:space="preserve">                                                                                        Mês
KPI'S</t>
  </si>
  <si>
    <t>Indicadores Terminais Programadas Áreas Críticas</t>
  </si>
  <si>
    <t>Indicadores Terminais programadas Áreas Semi Críticas</t>
  </si>
  <si>
    <t>Nº de Terminais Programadas 7º Andar</t>
  </si>
  <si>
    <t>Nº de Terminais Programadas 5º Andar</t>
  </si>
  <si>
    <t>Nº de Terminais Programadas 4º Andar</t>
  </si>
  <si>
    <t>Nº  de Terminais Programadas Realizadas no prazo 7º Andar</t>
  </si>
  <si>
    <t>Nº  de Terminais Programadas Realizadas no prazo 5º Andar</t>
  </si>
  <si>
    <t>Nº  de Terminais Programadas Realizadas no prazo 4º Andar</t>
  </si>
  <si>
    <t>5º Internação</t>
  </si>
  <si>
    <t>Programação semanal</t>
  </si>
  <si>
    <t xml:space="preserve">                DIA
SETOR</t>
  </si>
  <si>
    <t>SETOR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</si>
</sst>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 x14ac:knownFonts="1">
    <font>
      <sz val="11"/>
      <color theme="1"/>
      <name val="Calibri"/>
      <family val="2"/>
      <scheme val="minor"/>
    </font>
    <font>
      <sz val="11"/>
      <color indexed="8"/>
      <name val="Constantia"/>
      <family val="1"/>
    </font>
    <font>
      <b/>
      <sz val="11"/>
      <color indexed="8"/>
      <name val="Constantia"/>
      <family val="1"/>
    </font>
    <font>
      <b/>
      <i/>
      <sz val="11"/>
      <color theme="1"/>
      <name val="Constantia"/>
      <family val="1"/>
    </font>
    <font>
      <b/>
      <i/>
      <sz val="11"/>
      <color theme="1"/>
      <name val="Calibri"/>
      <family val="2"/>
      <scheme val="minor"/>
    </font>
    <font>
      <b/>
      <sz val="12"/>
      <color theme="1"/>
      <name val="Baskerville Old Face"/>
      <family val="1"/>
    </font>
    <font>
      <b/>
      <i/>
      <sz val="11"/>
      <color theme="1"/>
      <name val="Baskerville Old Face"/>
      <family val="1"/>
    </font>
    <font>
      <sz val="11"/>
      <color theme="1"/>
      <name val="Baskerville Old Face"/>
      <family val="1"/>
    </font>
    <font>
      <i/>
      <sz val="11"/>
      <color rgb="FFFFFE40"/>
      <name val="Baskerville Old Face"/>
      <family val="1"/>
    </font>
    <font>
      <b/>
      <i/>
      <sz val="10"/>
      <color theme="1"/>
      <name val="Baskerville Old Face"/>
      <family val="1"/>
    </font>
    <font>
      <b/>
      <i/>
      <sz val="12"/>
      <color theme="1"/>
      <name val="Baskerville Old Face"/>
      <family val="1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indexed="81"/>
      <name val="Constantia"/>
      <family val="1"/>
    </font>
    <font>
      <b/>
      <sz val="10"/>
      <color indexed="81"/>
      <name val="Constantia"/>
      <family val="1"/>
    </font>
    <font>
      <b/>
      <sz val="11"/>
      <color indexed="81"/>
      <name val="Constantia"/>
      <family val="1"/>
    </font>
    <font>
      <b/>
      <sz val="11"/>
      <color indexed="81"/>
      <name val="Segoe UI"/>
      <family val="2"/>
    </font>
    <font>
      <sz val="11"/>
      <color indexed="81"/>
      <name val="Segoe UI"/>
      <family val="2"/>
    </font>
    <font>
      <b/>
      <sz val="11"/>
      <color theme="1"/>
      <name val="Calibri"/>
      <family val="2"/>
      <scheme val="minor"/>
    </font>
    <font>
      <b/>
      <u/>
      <sz val="20"/>
      <color theme="4" tint="-0.249977111117893"/>
      <name val="Georgia"/>
      <family val="1"/>
    </font>
    <font>
      <b/>
      <sz val="20"/>
      <color rgb="FF000000"/>
      <name val="Georgia"/>
      <family val="1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onstantia"/>
      <family val="1"/>
    </font>
    <font>
      <sz val="11"/>
      <color rgb="FFFF0000"/>
      <name val="Constantia"/>
      <family val="1"/>
    </font>
    <font>
      <sz val="22"/>
      <color theme="1"/>
      <name val="Constantia"/>
      <family val="1"/>
    </font>
    <font>
      <b/>
      <sz val="48"/>
      <color theme="1"/>
      <name val="Constantia"/>
      <family val="1"/>
    </font>
    <font>
      <sz val="26"/>
      <color theme="1"/>
      <name val="Constantia"/>
      <family val="1"/>
    </font>
    <font>
      <sz val="40"/>
      <color theme="1"/>
      <name val="Constantia"/>
      <family val="1"/>
    </font>
    <font>
      <sz val="40"/>
      <color theme="1"/>
      <name val="Calibri"/>
      <family val="2"/>
      <scheme val="minor"/>
    </font>
    <font>
      <b/>
      <sz val="16"/>
      <color theme="1"/>
      <name val="Constantia"/>
      <family val="1"/>
    </font>
    <font>
      <sz val="16"/>
      <color theme="1"/>
      <name val="Calibri"/>
      <family val="2"/>
      <scheme val="minor"/>
    </font>
    <font>
      <sz val="16"/>
      <color theme="1"/>
      <name val="Constantia"/>
      <family val="1"/>
    </font>
    <font>
      <b/>
      <sz val="16"/>
      <color theme="1"/>
      <name val="Calibri"/>
      <family val="2"/>
      <scheme val="minor"/>
    </font>
    <font>
      <b/>
      <sz val="16"/>
      <color theme="1"/>
      <name val="Consolas"/>
      <family val="3"/>
    </font>
    <font>
      <sz val="16"/>
      <color theme="1"/>
      <name val="Consolas"/>
      <family val="3"/>
    </font>
    <font>
      <sz val="14"/>
      <color theme="1"/>
      <name val="Constantia"/>
      <family val="1"/>
    </font>
    <font>
      <b/>
      <sz val="14"/>
      <color theme="1"/>
      <name val="Constantia"/>
      <family val="1"/>
    </font>
    <font>
      <b/>
      <sz val="14"/>
      <color theme="1"/>
      <name val="Calibri"/>
      <family val="2"/>
      <scheme val="minor"/>
    </font>
    <font>
      <b/>
      <sz val="14"/>
      <color theme="1"/>
      <name val="Consolas"/>
      <family val="3"/>
    </font>
    <font>
      <b/>
      <sz val="11"/>
      <color theme="1"/>
      <name val="Constantia"/>
      <family val="1"/>
    </font>
    <font>
      <b/>
      <sz val="12"/>
      <color theme="1"/>
      <name val="Georgia"/>
      <family val="1"/>
    </font>
    <font>
      <sz val="11"/>
      <color theme="1"/>
      <name val="Georgia"/>
      <family val="1"/>
    </font>
    <font>
      <sz val="11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>
        <stop position="0">
          <color theme="7"/>
        </stop>
        <stop position="1">
          <color rgb="FFFF9900"/>
        </stop>
      </gradientFill>
    </fill>
    <fill>
      <patternFill patternType="solid">
        <fgColor rgb="FFFDD903"/>
        <bgColor indexed="64"/>
      </patternFill>
    </fill>
    <fill>
      <gradientFill degree="135">
        <stop position="0">
          <color rgb="FFFFE12D"/>
        </stop>
        <stop position="0.5">
          <color theme="7"/>
        </stop>
        <stop position="1">
          <color rgb="FFFFE12D"/>
        </stop>
      </gradientFill>
    </fill>
    <fill>
      <gradientFill type="path" left="1" right="1">
        <stop position="0">
          <color rgb="FFFFE12D"/>
        </stop>
        <stop position="1">
          <color rgb="FFFF9900"/>
        </stop>
      </gradientFill>
    </fill>
    <fill>
      <patternFill patternType="solid">
        <fgColor rgb="FFFF66FF"/>
        <bgColor indexed="64"/>
      </patternFill>
    </fill>
    <fill>
      <patternFill patternType="solid">
        <fgColor rgb="FFFFABFF"/>
        <bgColor indexed="64"/>
      </patternFill>
    </fill>
    <fill>
      <patternFill patternType="solid">
        <fgColor rgb="FF3900D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gradientFill degree="90">
        <stop position="0">
          <color theme="0"/>
        </stop>
        <stop position="1">
          <color rgb="FFFFFF00"/>
        </stop>
      </gradient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/>
      <top style="medium">
        <color indexed="64"/>
      </top>
      <bottom/>
      <diagonal style="mediumDashed">
        <color indexed="64"/>
      </diagonal>
    </border>
    <border diagonalDown="1">
      <left style="medium">
        <color indexed="64"/>
      </left>
      <right/>
      <top/>
      <bottom/>
      <diagonal style="mediumDashed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rgb="FF00CCFF"/>
      </left>
      <right/>
      <top style="thick">
        <color rgb="FF00CCFF"/>
      </top>
      <bottom/>
      <diagonal/>
    </border>
    <border>
      <left/>
      <right/>
      <top style="thick">
        <color rgb="FF00CCFF"/>
      </top>
      <bottom/>
      <diagonal/>
    </border>
    <border>
      <left/>
      <right style="thick">
        <color rgb="FF00CCFF"/>
      </right>
      <top style="thick">
        <color rgb="FF00CCFF"/>
      </top>
      <bottom/>
      <diagonal/>
    </border>
    <border>
      <left style="thick">
        <color rgb="FF00CCFF"/>
      </left>
      <right/>
      <top/>
      <bottom/>
      <diagonal/>
    </border>
    <border>
      <left/>
      <right style="thick">
        <color rgb="FF00CCFF"/>
      </right>
      <top/>
      <bottom/>
      <diagonal/>
    </border>
    <border>
      <left style="thick">
        <color rgb="FF00CCFF"/>
      </left>
      <right/>
      <top/>
      <bottom style="thick">
        <color rgb="FF00CCFF"/>
      </bottom>
      <diagonal/>
    </border>
    <border>
      <left/>
      <right/>
      <top/>
      <bottom style="thick">
        <color rgb="FF00CCFF"/>
      </bottom>
      <diagonal/>
    </border>
    <border>
      <left/>
      <right style="thick">
        <color rgb="FF00CCFF"/>
      </right>
      <top/>
      <bottom style="thick">
        <color rgb="FF00CCFF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Dashed">
        <color indexed="64"/>
      </diagonal>
    </border>
    <border>
      <left style="thick">
        <color rgb="FF00CCFF"/>
      </left>
      <right style="thick">
        <color rgb="FF00CCFF"/>
      </right>
      <top style="thick">
        <color rgb="FF00CCFF"/>
      </top>
      <bottom style="thick">
        <color rgb="FF00CCFF"/>
      </bottom>
      <diagonal/>
    </border>
    <border diagonalDown="1">
      <left style="thick">
        <color rgb="FF00CCFF"/>
      </left>
      <right style="thick">
        <color rgb="FF00CCFF"/>
      </right>
      <top style="thick">
        <color rgb="FF00CCFF"/>
      </top>
      <bottom style="thick">
        <color rgb="FF00CCFF"/>
      </bottom>
      <diagonal style="mediumDashed">
        <color rgb="FF00CCFF"/>
      </diagonal>
    </border>
  </borders>
  <cellStyleXfs count="1">
    <xf numFmtId="0" fontId="0" fillId="0" borderId="0"/>
  </cellStyleXfs>
  <cellXfs count="178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/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14" fontId="7" fillId="2" borderId="0" xfId="0" applyNumberFormat="1" applyFont="1" applyFill="1"/>
    <xf numFmtId="14" fontId="5" fillId="6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8" fillId="4" borderId="0" xfId="0" applyFont="1" applyFill="1" applyBorder="1" applyAlignment="1">
      <alignment horizontal="center"/>
    </xf>
    <xf numFmtId="0" fontId="5" fillId="2" borderId="7" xfId="0" applyNumberFormat="1" applyFont="1" applyFill="1" applyBorder="1" applyAlignment="1">
      <alignment horizontal="right" vertical="center" indent="1"/>
    </xf>
    <xf numFmtId="0" fontId="5" fillId="2" borderId="8" xfId="0" applyNumberFormat="1" applyFont="1" applyFill="1" applyBorder="1" applyAlignment="1">
      <alignment horizontal="right" vertical="center" indent="1"/>
    </xf>
    <xf numFmtId="0" fontId="5" fillId="2" borderId="8" xfId="0" applyFont="1" applyFill="1" applyBorder="1" applyAlignment="1">
      <alignment horizontal="right" vertical="center" indent="1"/>
    </xf>
    <xf numFmtId="0" fontId="5" fillId="2" borderId="9" xfId="0" applyFont="1" applyFill="1" applyBorder="1" applyAlignment="1">
      <alignment horizontal="right" vertical="center" indent="1"/>
    </xf>
    <xf numFmtId="0" fontId="10" fillId="2" borderId="7" xfId="0" applyNumberFormat="1" applyFont="1" applyFill="1" applyBorder="1" applyAlignment="1">
      <alignment horizontal="right" vertical="center" indent="1"/>
    </xf>
    <xf numFmtId="0" fontId="10" fillId="2" borderId="10" xfId="0" applyNumberFormat="1" applyFont="1" applyFill="1" applyBorder="1" applyAlignment="1">
      <alignment horizontal="right" vertical="center" indent="1"/>
    </xf>
    <xf numFmtId="0" fontId="10" fillId="2" borderId="11" xfId="0" applyNumberFormat="1" applyFont="1" applyFill="1" applyBorder="1" applyAlignment="1">
      <alignment horizontal="right" vertical="center" indent="1"/>
    </xf>
    <xf numFmtId="0" fontId="3" fillId="3" borderId="4" xfId="0" applyFont="1" applyFill="1" applyBorder="1" applyAlignment="1">
      <alignment horizontal="center" vertical="center"/>
    </xf>
    <xf numFmtId="14" fontId="10" fillId="2" borderId="3" xfId="0" applyNumberFormat="1" applyFont="1" applyFill="1" applyBorder="1" applyAlignment="1">
      <alignment horizontal="center" vertical="center"/>
    </xf>
    <xf numFmtId="14" fontId="10" fillId="2" borderId="9" xfId="0" applyNumberFormat="1" applyFont="1" applyFill="1" applyBorder="1" applyAlignment="1">
      <alignment horizontal="center" vertical="center"/>
    </xf>
    <xf numFmtId="0" fontId="10" fillId="7" borderId="11" xfId="0" applyNumberFormat="1" applyFont="1" applyFill="1" applyBorder="1" applyAlignment="1">
      <alignment horizontal="right" vertical="center" indent="1"/>
    </xf>
    <xf numFmtId="0" fontId="10" fillId="8" borderId="7" xfId="0" applyNumberFormat="1" applyFont="1" applyFill="1" applyBorder="1" applyAlignment="1">
      <alignment horizontal="right" vertical="center" indent="1"/>
    </xf>
    <xf numFmtId="0" fontId="11" fillId="2" borderId="0" xfId="0" applyNumberFormat="1" applyFont="1" applyFill="1"/>
    <xf numFmtId="14" fontId="11" fillId="2" borderId="0" xfId="0" applyNumberFormat="1" applyFont="1" applyFill="1"/>
    <xf numFmtId="0" fontId="0" fillId="9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11" fillId="2" borderId="0" xfId="0" applyFont="1" applyFill="1"/>
    <xf numFmtId="0" fontId="22" fillId="0" borderId="13" xfId="0" applyFont="1" applyBorder="1"/>
    <xf numFmtId="0" fontId="22" fillId="0" borderId="0" xfId="0" applyFont="1" applyBorder="1"/>
    <xf numFmtId="0" fontId="23" fillId="11" borderId="13" xfId="0" applyFont="1" applyFill="1" applyBorder="1"/>
    <xf numFmtId="0" fontId="22" fillId="0" borderId="14" xfId="0" applyFont="1" applyBorder="1"/>
    <xf numFmtId="0" fontId="23" fillId="11" borderId="14" xfId="0" applyFont="1" applyFill="1" applyBorder="1"/>
    <xf numFmtId="0" fontId="24" fillId="12" borderId="14" xfId="0" applyFont="1" applyFill="1" applyBorder="1"/>
    <xf numFmtId="0" fontId="22" fillId="2" borderId="14" xfId="0" applyFont="1" applyFill="1" applyBorder="1"/>
    <xf numFmtId="0" fontId="22" fillId="2" borderId="15" xfId="0" applyFont="1" applyFill="1" applyBorder="1"/>
    <xf numFmtId="0" fontId="23" fillId="11" borderId="1" xfId="0" applyFont="1" applyFill="1" applyBorder="1" applyAlignment="1">
      <alignment horizontal="right"/>
    </xf>
    <xf numFmtId="0" fontId="22" fillId="0" borderId="0" xfId="0" applyFont="1" applyBorder="1" applyAlignment="1">
      <alignment horizontal="right"/>
    </xf>
    <xf numFmtId="0" fontId="23" fillId="7" borderId="14" xfId="0" applyFont="1" applyFill="1" applyBorder="1"/>
    <xf numFmtId="0" fontId="22" fillId="0" borderId="15" xfId="0" applyFont="1" applyBorder="1"/>
    <xf numFmtId="0" fontId="24" fillId="12" borderId="15" xfId="0" applyFont="1" applyFill="1" applyBorder="1"/>
    <xf numFmtId="0" fontId="23" fillId="11" borderId="15" xfId="0" applyFont="1" applyFill="1" applyBorder="1"/>
    <xf numFmtId="0" fontId="24" fillId="0" borderId="0" xfId="0" applyFont="1" applyBorder="1"/>
    <xf numFmtId="0" fontId="23" fillId="7" borderId="15" xfId="0" applyFont="1" applyFill="1" applyBorder="1"/>
    <xf numFmtId="0" fontId="0" fillId="0" borderId="0" xfId="0" applyFont="1"/>
    <xf numFmtId="0" fontId="25" fillId="0" borderId="0" xfId="0" applyFont="1" applyBorder="1" applyAlignment="1"/>
    <xf numFmtId="0" fontId="0" fillId="0" borderId="0" xfId="0" applyFont="1" applyAlignment="1">
      <alignment horizontal="center" vertical="center"/>
    </xf>
    <xf numFmtId="0" fontId="0" fillId="2" borderId="0" xfId="0" applyFont="1" applyFill="1" applyBorder="1"/>
    <xf numFmtId="0" fontId="0" fillId="15" borderId="28" xfId="0" applyFont="1" applyFill="1" applyBorder="1"/>
    <xf numFmtId="0" fontId="0" fillId="15" borderId="29" xfId="0" applyFont="1" applyFill="1" applyBorder="1"/>
    <xf numFmtId="0" fontId="0" fillId="15" borderId="29" xfId="0" applyFont="1" applyFill="1" applyBorder="1" applyAlignment="1">
      <alignment horizontal="center" vertical="center"/>
    </xf>
    <xf numFmtId="0" fontId="0" fillId="13" borderId="28" xfId="0" applyFont="1" applyFill="1" applyBorder="1"/>
    <xf numFmtId="0" fontId="0" fillId="13" borderId="29" xfId="0" applyFont="1" applyFill="1" applyBorder="1"/>
    <xf numFmtId="0" fontId="0" fillId="13" borderId="30" xfId="0" applyFont="1" applyFill="1" applyBorder="1"/>
    <xf numFmtId="0" fontId="0" fillId="15" borderId="31" xfId="0" applyFont="1" applyFill="1" applyBorder="1"/>
    <xf numFmtId="0" fontId="0" fillId="15" borderId="0" xfId="0" applyFont="1" applyFill="1" applyBorder="1"/>
    <xf numFmtId="0" fontId="0" fillId="13" borderId="31" xfId="0" applyFont="1" applyFill="1" applyBorder="1"/>
    <xf numFmtId="0" fontId="0" fillId="13" borderId="0" xfId="0" applyFont="1" applyFill="1" applyBorder="1"/>
    <xf numFmtId="0" fontId="0" fillId="13" borderId="32" xfId="0" applyFont="1" applyFill="1" applyBorder="1"/>
    <xf numFmtId="0" fontId="19" fillId="14" borderId="33" xfId="0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horizontal="center"/>
    </xf>
    <xf numFmtId="0" fontId="0" fillId="15" borderId="0" xfId="0" applyFont="1" applyFill="1" applyBorder="1" applyAlignment="1">
      <alignment horizontal="center" vertical="center"/>
    </xf>
    <xf numFmtId="0" fontId="19" fillId="14" borderId="33" xfId="0" applyFont="1" applyFill="1" applyBorder="1" applyAlignment="1">
      <alignment horizontal="center"/>
    </xf>
    <xf numFmtId="0" fontId="0" fillId="15" borderId="11" xfId="0" applyFont="1" applyFill="1" applyBorder="1"/>
    <xf numFmtId="0" fontId="0" fillId="15" borderId="27" xfId="0" applyFont="1" applyFill="1" applyBorder="1"/>
    <xf numFmtId="0" fontId="0" fillId="15" borderId="27" xfId="0" applyFont="1" applyFill="1" applyBorder="1" applyAlignment="1">
      <alignment horizontal="center" vertical="center"/>
    </xf>
    <xf numFmtId="0" fontId="0" fillId="13" borderId="11" xfId="0" applyFont="1" applyFill="1" applyBorder="1"/>
    <xf numFmtId="0" fontId="0" fillId="13" borderId="27" xfId="0" applyFont="1" applyFill="1" applyBorder="1"/>
    <xf numFmtId="0" fontId="0" fillId="13" borderId="34" xfId="0" applyFont="1" applyFill="1" applyBorder="1"/>
    <xf numFmtId="0" fontId="0" fillId="2" borderId="0" xfId="0" applyFont="1" applyFill="1"/>
    <xf numFmtId="0" fontId="0" fillId="2" borderId="0" xfId="0" applyFont="1" applyFill="1" applyAlignment="1">
      <alignment horizontal="center" vertical="center"/>
    </xf>
    <xf numFmtId="0" fontId="25" fillId="0" borderId="27" xfId="0" applyFont="1" applyBorder="1" applyAlignment="1"/>
    <xf numFmtId="0" fontId="25" fillId="14" borderId="0" xfId="0" applyFont="1" applyFill="1" applyBorder="1" applyAlignment="1">
      <alignment horizontal="left"/>
    </xf>
    <xf numFmtId="0" fontId="26" fillId="14" borderId="0" xfId="0" applyFont="1" applyFill="1" applyBorder="1" applyAlignment="1">
      <alignment horizontal="center"/>
    </xf>
    <xf numFmtId="0" fontId="25" fillId="14" borderId="37" xfId="0" applyFont="1" applyFill="1" applyBorder="1" applyAlignment="1">
      <alignment horizontal="center"/>
    </xf>
    <xf numFmtId="0" fontId="26" fillId="14" borderId="38" xfId="0" applyFont="1" applyFill="1" applyBorder="1" applyAlignment="1">
      <alignment horizontal="center"/>
    </xf>
    <xf numFmtId="0" fontId="28" fillId="0" borderId="0" xfId="0" applyFont="1"/>
    <xf numFmtId="0" fontId="29" fillId="0" borderId="0" xfId="0" applyFont="1"/>
    <xf numFmtId="0" fontId="31" fillId="0" borderId="0" xfId="0" applyFont="1"/>
    <xf numFmtId="0" fontId="33" fillId="0" borderId="0" xfId="0" applyFont="1"/>
    <xf numFmtId="0" fontId="34" fillId="0" borderId="0" xfId="0" applyFont="1"/>
    <xf numFmtId="0" fontId="35" fillId="0" borderId="0" xfId="0" applyFont="1"/>
    <xf numFmtId="14" fontId="36" fillId="2" borderId="0" xfId="0" applyNumberFormat="1" applyFont="1" applyFill="1"/>
    <xf numFmtId="0" fontId="33" fillId="2" borderId="0" xfId="0" applyFont="1" applyFill="1"/>
    <xf numFmtId="0" fontId="32" fillId="0" borderId="0" xfId="0" applyFont="1"/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2" fillId="0" borderId="0" xfId="0" applyFont="1" applyBorder="1" applyAlignment="1"/>
    <xf numFmtId="0" fontId="28" fillId="0" borderId="0" xfId="0" applyFont="1" applyBorder="1"/>
    <xf numFmtId="0" fontId="40" fillId="0" borderId="0" xfId="0" applyFont="1"/>
    <xf numFmtId="0" fontId="38" fillId="0" borderId="0" xfId="0" applyFont="1" applyBorder="1" applyAlignment="1"/>
    <xf numFmtId="0" fontId="35" fillId="0" borderId="0" xfId="0" applyFont="1" applyAlignment="1"/>
    <xf numFmtId="14" fontId="36" fillId="2" borderId="0" xfId="0" applyNumberFormat="1" applyFont="1" applyFill="1" applyAlignment="1">
      <alignment horizontal="center"/>
    </xf>
    <xf numFmtId="0" fontId="35" fillId="2" borderId="0" xfId="0" applyFont="1" applyFill="1" applyBorder="1"/>
    <xf numFmtId="0" fontId="33" fillId="2" borderId="0" xfId="0" applyFont="1" applyFill="1" applyBorder="1"/>
    <xf numFmtId="14" fontId="37" fillId="2" borderId="0" xfId="0" applyNumberFormat="1" applyFont="1" applyFill="1" applyBorder="1" applyAlignment="1">
      <alignment horizontal="left"/>
    </xf>
    <xf numFmtId="0" fontId="0" fillId="2" borderId="0" xfId="0" applyFill="1" applyBorder="1"/>
    <xf numFmtId="14" fontId="34" fillId="2" borderId="0" xfId="0" applyNumberFormat="1" applyFont="1" applyFill="1" applyBorder="1"/>
    <xf numFmtId="0" fontId="40" fillId="0" borderId="0" xfId="0" applyFont="1" applyAlignment="1">
      <alignment vertical="center"/>
    </xf>
    <xf numFmtId="0" fontId="33" fillId="0" borderId="0" xfId="0" applyFont="1" applyAlignment="1"/>
    <xf numFmtId="14" fontId="41" fillId="2" borderId="0" xfId="0" applyNumberFormat="1" applyFont="1" applyFill="1" applyAlignment="1">
      <alignment horizontal="center"/>
    </xf>
    <xf numFmtId="0" fontId="39" fillId="0" borderId="35" xfId="0" applyFont="1" applyBorder="1" applyAlignment="1"/>
    <xf numFmtId="0" fontId="39" fillId="0" borderId="36" xfId="0" applyFont="1" applyBorder="1" applyAlignment="1"/>
    <xf numFmtId="0" fontId="39" fillId="0" borderId="35" xfId="0" applyFont="1" applyBorder="1" applyAlignment="1">
      <alignment horizontal="center" vertical="center"/>
    </xf>
    <xf numFmtId="0" fontId="39" fillId="0" borderId="36" xfId="0" applyFont="1" applyBorder="1" applyAlignment="1">
      <alignment horizontal="center" vertical="center"/>
    </xf>
    <xf numFmtId="0" fontId="32" fillId="2" borderId="0" xfId="0" applyFont="1" applyFill="1" applyBorder="1" applyAlignment="1"/>
    <xf numFmtId="0" fontId="35" fillId="2" borderId="0" xfId="0" applyFont="1" applyFill="1" applyBorder="1" applyAlignment="1"/>
    <xf numFmtId="0" fontId="11" fillId="16" borderId="0" xfId="0" applyFont="1" applyFill="1"/>
    <xf numFmtId="14" fontId="41" fillId="17" borderId="0" xfId="0" applyNumberFormat="1" applyFont="1" applyFill="1" applyAlignment="1">
      <alignment horizontal="center"/>
    </xf>
    <xf numFmtId="0" fontId="36" fillId="0" borderId="0" xfId="0" applyFont="1" applyAlignment="1" applyProtection="1">
      <protection locked="0"/>
    </xf>
    <xf numFmtId="0" fontId="36" fillId="0" borderId="0" xfId="0" applyFont="1" applyProtection="1">
      <protection locked="0"/>
    </xf>
    <xf numFmtId="0" fontId="36" fillId="0" borderId="0" xfId="0" applyFont="1" applyBorder="1" applyAlignment="1" applyProtection="1">
      <protection locked="0"/>
    </xf>
    <xf numFmtId="0" fontId="32" fillId="0" borderId="35" xfId="0" applyFont="1" applyBorder="1" applyAlignment="1" applyProtection="1">
      <protection locked="0"/>
    </xf>
    <xf numFmtId="0" fontId="36" fillId="0" borderId="35" xfId="0" applyFont="1" applyBorder="1" applyAlignment="1" applyProtection="1">
      <alignment horizontal="center" vertical="center"/>
      <protection locked="0"/>
    </xf>
    <xf numFmtId="0" fontId="37" fillId="0" borderId="0" xfId="0" applyFont="1" applyProtection="1">
      <protection locked="0"/>
    </xf>
    <xf numFmtId="0" fontId="0" fillId="2" borderId="4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22" fillId="0" borderId="16" xfId="0" applyFont="1" applyBorder="1" applyProtection="1">
      <protection locked="0"/>
    </xf>
    <xf numFmtId="0" fontId="22" fillId="0" borderId="17" xfId="0" applyFont="1" applyBorder="1" applyProtection="1">
      <protection locked="0"/>
    </xf>
    <xf numFmtId="0" fontId="22" fillId="0" borderId="18" xfId="0" applyFont="1" applyBorder="1" applyProtection="1">
      <protection locked="0"/>
    </xf>
    <xf numFmtId="0" fontId="24" fillId="0" borderId="18" xfId="0" applyFont="1" applyBorder="1" applyProtection="1">
      <protection locked="0"/>
    </xf>
    <xf numFmtId="0" fontId="0" fillId="10" borderId="33" xfId="0" applyFont="1" applyFill="1" applyBorder="1" applyAlignment="1" applyProtection="1">
      <alignment horizontal="center" vertical="center"/>
      <protection locked="0"/>
    </xf>
    <xf numFmtId="0" fontId="0" fillId="10" borderId="33" xfId="0" applyFont="1" applyFill="1" applyBorder="1" applyProtection="1">
      <protection locked="0"/>
    </xf>
    <xf numFmtId="0" fontId="0" fillId="10" borderId="33" xfId="0" applyFont="1" applyFill="1" applyBorder="1" applyAlignment="1" applyProtection="1">
      <alignment horizontal="center"/>
      <protection locked="0"/>
    </xf>
    <xf numFmtId="0" fontId="25" fillId="10" borderId="0" xfId="0" applyFont="1" applyFill="1" applyBorder="1" applyAlignment="1" applyProtection="1">
      <alignment horizontal="left"/>
      <protection locked="0"/>
    </xf>
    <xf numFmtId="0" fontId="25" fillId="10" borderId="0" xfId="0" applyFont="1" applyFill="1" applyBorder="1" applyAlignment="1" applyProtection="1">
      <alignment horizontal="center"/>
      <protection locked="0"/>
    </xf>
    <xf numFmtId="0" fontId="25" fillId="10" borderId="31" xfId="0" applyFont="1" applyFill="1" applyBorder="1" applyAlignment="1" applyProtection="1">
      <alignment horizontal="left"/>
      <protection locked="0"/>
    </xf>
    <xf numFmtId="0" fontId="26" fillId="10" borderId="32" xfId="0" applyFont="1" applyFill="1" applyBorder="1" applyAlignment="1" applyProtection="1">
      <alignment horizontal="center" vertical="center"/>
      <protection locked="0"/>
    </xf>
    <xf numFmtId="0" fontId="25" fillId="10" borderId="11" xfId="0" applyFont="1" applyFill="1" applyBorder="1" applyAlignment="1" applyProtection="1">
      <alignment horizontal="left"/>
      <protection locked="0"/>
    </xf>
    <xf numFmtId="0" fontId="26" fillId="10" borderId="34" xfId="0" applyFont="1" applyFill="1" applyBorder="1" applyAlignment="1" applyProtection="1">
      <alignment horizontal="center" vertical="center"/>
      <protection locked="0"/>
    </xf>
    <xf numFmtId="0" fontId="27" fillId="0" borderId="27" xfId="0" applyFont="1" applyBorder="1" applyAlignment="1"/>
    <xf numFmtId="0" fontId="36" fillId="0" borderId="35" xfId="0" applyFont="1" applyBorder="1" applyAlignment="1" applyProtection="1">
      <alignment horizontal="center" vertical="center"/>
      <protection locked="0"/>
    </xf>
    <xf numFmtId="0" fontId="36" fillId="0" borderId="35" xfId="0" applyFont="1" applyBorder="1" applyAlignment="1" applyProtection="1">
      <alignment horizontal="center" vertical="center"/>
      <protection locked="0"/>
    </xf>
    <xf numFmtId="0" fontId="36" fillId="0" borderId="35" xfId="0" applyFont="1" applyBorder="1" applyAlignment="1" applyProtection="1">
      <alignment horizontal="left" vertical="center"/>
      <protection locked="0"/>
    </xf>
    <xf numFmtId="0" fontId="0" fillId="2" borderId="2" xfId="0" applyFill="1" applyBorder="1"/>
    <xf numFmtId="0" fontId="38" fillId="0" borderId="39" xfId="0" applyFont="1" applyBorder="1" applyAlignment="1">
      <alignment vertical="center" wrapText="1"/>
    </xf>
    <xf numFmtId="0" fontId="42" fillId="0" borderId="33" xfId="0" applyFont="1" applyBorder="1" applyAlignment="1">
      <alignment horizontal="center" vertical="center"/>
    </xf>
    <xf numFmtId="0" fontId="25" fillId="0" borderId="33" xfId="0" applyFont="1" applyBorder="1"/>
    <xf numFmtId="0" fontId="25" fillId="0" borderId="0" xfId="0" applyFont="1"/>
    <xf numFmtId="0" fontId="39" fillId="18" borderId="33" xfId="0" applyFont="1" applyFill="1" applyBorder="1" applyAlignment="1">
      <alignment horizontal="center"/>
    </xf>
    <xf numFmtId="0" fontId="39" fillId="19" borderId="33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43" fillId="0" borderId="40" xfId="0" applyFont="1" applyBorder="1" applyAlignment="1">
      <alignment horizontal="center" vertical="center" wrapText="1"/>
    </xf>
    <xf numFmtId="0" fontId="44" fillId="0" borderId="41" xfId="0" applyFont="1" applyBorder="1" applyAlignment="1">
      <alignment wrapText="1"/>
    </xf>
    <xf numFmtId="14" fontId="22" fillId="19" borderId="40" xfId="0" applyNumberFormat="1" applyFont="1" applyFill="1" applyBorder="1" applyAlignment="1">
      <alignment vertical="center"/>
    </xf>
    <xf numFmtId="0" fontId="45" fillId="0" borderId="40" xfId="0" applyFont="1" applyBorder="1" applyAlignment="1">
      <alignment horizontal="center" vertical="center" wrapText="1"/>
    </xf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4" xfId="0" applyFill="1" applyBorder="1"/>
    <xf numFmtId="0" fontId="0" fillId="2" borderId="3" xfId="0" applyFill="1" applyBorder="1"/>
    <xf numFmtId="0" fontId="8" fillId="2" borderId="0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center"/>
    </xf>
    <xf numFmtId="0" fontId="9" fillId="5" borderId="5" xfId="0" applyFont="1" applyFill="1" applyBorder="1" applyAlignment="1">
      <alignment horizontal="left" vertical="center" wrapText="1"/>
    </xf>
    <xf numFmtId="0" fontId="9" fillId="5" borderId="6" xfId="0" applyFont="1" applyFill="1" applyBorder="1" applyAlignment="1">
      <alignment horizontal="left" vertical="center"/>
    </xf>
    <xf numFmtId="0" fontId="33" fillId="2" borderId="0" xfId="0" applyFont="1" applyFill="1" applyBorder="1" applyAlignment="1">
      <alignment horizontal="center"/>
    </xf>
    <xf numFmtId="0" fontId="38" fillId="0" borderId="27" xfId="0" applyFont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5" fillId="2" borderId="0" xfId="0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36" fillId="0" borderId="35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2" fillId="0" borderId="35" xfId="0" applyFont="1" applyBorder="1" applyAlignment="1">
      <alignment horizontal="center"/>
    </xf>
    <xf numFmtId="0" fontId="36" fillId="0" borderId="35" xfId="0" applyFont="1" applyBorder="1" applyAlignment="1" applyProtection="1">
      <alignment horizontal="center"/>
      <protection locked="0"/>
    </xf>
    <xf numFmtId="0" fontId="32" fillId="11" borderId="33" xfId="0" applyFont="1" applyFill="1" applyBorder="1" applyAlignment="1">
      <alignment horizontal="center"/>
    </xf>
    <xf numFmtId="0" fontId="32" fillId="7" borderId="33" xfId="0" applyFont="1" applyFill="1" applyBorder="1" applyAlignment="1">
      <alignment horizontal="center"/>
    </xf>
    <xf numFmtId="0" fontId="0" fillId="20" borderId="0" xfId="0" applyFill="1"/>
  </cellXfs>
  <cellStyles count="1"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onstantia"/>
        <scheme val="none"/>
      </font>
      <fill>
        <patternFill patternType="solid">
          <fgColor indexed="64"/>
          <bgColor theme="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tantia"/>
        <scheme val="none"/>
      </font>
      <fill>
        <patternFill patternType="solid">
          <fgColor indexed="64"/>
          <bgColor theme="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onstantia"/>
        <scheme val="none"/>
      </font>
      <fill>
        <patternFill patternType="solid">
          <fgColor indexed="64"/>
          <bgColor theme="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tantia"/>
        <scheme val="none"/>
      </font>
      <fill>
        <patternFill patternType="solid">
          <fgColor indexed="64"/>
          <bgColor theme="3"/>
        </patternFill>
      </fill>
      <alignment horizontal="center" vertical="bottom" textRotation="0" wrapText="0" indent="0" justifyLastLine="0" shrinkToFit="0" readingOrder="0"/>
      <protection locked="0" hidden="0"/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tantia"/>
        <scheme val="none"/>
      </font>
      <fill>
        <patternFill patternType="solid">
          <fgColor indexed="64"/>
          <bgColor theme="3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tantia"/>
        <scheme val="none"/>
      </font>
      <fill>
        <patternFill patternType="solid">
          <fgColor indexed="64"/>
          <bgColor theme="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FF00"/>
      <color rgb="FFFFCCFF"/>
      <color rgb="FFFF66FF"/>
      <color rgb="FF66FFFF"/>
      <color rgb="FF00CCFF"/>
      <color rgb="FFFFFE40"/>
      <color rgb="FF3900DA"/>
      <color rgb="FFFFFF65"/>
      <color rgb="FFC42100"/>
      <color rgb="FFFE3E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onstantia" panose="02030602050306030303" pitchFamily="18" charset="0"/>
                <a:ea typeface="+mn-ea"/>
                <a:cs typeface="+mn-cs"/>
              </a:defRPr>
            </a:pPr>
            <a:r>
              <a:rPr lang="en-US" sz="1100" baseline="0">
                <a:latin typeface="Constantia" panose="02030602050306030303" pitchFamily="18" charset="0"/>
              </a:rPr>
              <a:t>Programadas Agendadas   </a:t>
            </a:r>
          </a:p>
        </c:rich>
      </c:tx>
      <c:layout>
        <c:manualLayout>
          <c:xMode val="edge"/>
          <c:yMode val="edge"/>
          <c:x val="0.31786738104048579"/>
          <c:y val="1.20300770872183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onstantia" panose="020306020503060303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2433808825264434"/>
          <c:y val="9.2397999513272752E-2"/>
          <c:w val="0.70048829087200104"/>
          <c:h val="0.8221739233064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'Relatório Diário'!$AJ$18:$AJ$21</c:f>
              <c:strCache>
                <c:ptCount val="4"/>
                <c:pt idx="0">
                  <c:v>7º Internação</c:v>
                </c:pt>
                <c:pt idx="1">
                  <c:v>5º Andar</c:v>
                </c:pt>
                <c:pt idx="2">
                  <c:v>2º Andar QT</c:v>
                </c:pt>
                <c:pt idx="3">
                  <c:v>4º Internação 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shade val="30000"/>
                    <a:satMod val="115000"/>
                    <a:alpha val="79000"/>
                  </a:schemeClr>
                </a:gs>
                <a:gs pos="50000">
                  <a:schemeClr val="accent1">
                    <a:shade val="67500"/>
                    <a:satMod val="115000"/>
                    <a:alpha val="73000"/>
                  </a:schemeClr>
                </a:gs>
                <a:gs pos="100000">
                  <a:schemeClr val="accent1">
                    <a:shade val="100000"/>
                    <a:satMod val="115000"/>
                    <a:alpha val="90000"/>
                  </a:schemeClr>
                </a:gs>
              </a:gsLst>
              <a:lin ang="10800000" scaled="1"/>
              <a:tileRect/>
            </a:gradFill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>
              <a:glow rad="114300">
                <a:schemeClr val="accent5">
                  <a:satMod val="175000"/>
                  <a:alpha val="20000"/>
                </a:schemeClr>
              </a:glow>
              <a:outerShdw blurRad="25400" dir="18900000" sy="23000" kx="-1200000" algn="bl" rotWithShape="0">
                <a:prstClr val="black">
                  <a:alpha val="19000"/>
                </a:prstClr>
              </a:outerShdw>
            </a:effectLst>
            <a:scene3d>
              <a:camera prst="orthographicFront"/>
              <a:lightRig rig="freezing" dir="t"/>
            </a:scene3d>
            <a:sp3d prstMaterial="flat"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'Relatório Diário'!$AJ$18:$AJ$21</c:f>
              <c:strCache>
                <c:ptCount val="4"/>
                <c:pt idx="0">
                  <c:v>7º Internação</c:v>
                </c:pt>
                <c:pt idx="1">
                  <c:v>5º Andar</c:v>
                </c:pt>
                <c:pt idx="2">
                  <c:v>2º Andar QT</c:v>
                </c:pt>
                <c:pt idx="3">
                  <c:v>4º Internação </c:v>
                </c:pt>
              </c:strCache>
            </c:strRef>
          </c:cat>
          <c:val>
            <c:numRef>
              <c:f>'Relatório Diário'!$AK$18:$AK$21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E7-4D97-A279-04883DB1456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215276536"/>
        <c:axId val="215280472"/>
      </c:barChart>
      <c:catAx>
        <c:axId val="21527653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onstantia" panose="02030602050306030303" pitchFamily="18" charset="0"/>
                <a:ea typeface="+mn-ea"/>
                <a:cs typeface="+mn-cs"/>
              </a:defRPr>
            </a:pPr>
            <a:endParaRPr lang="pt-BR"/>
          </a:p>
        </c:txPr>
        <c:crossAx val="215280472"/>
        <c:crosses val="autoZero"/>
        <c:auto val="1"/>
        <c:lblAlgn val="ctr"/>
        <c:lblOffset val="100"/>
        <c:noMultiLvlLbl val="0"/>
      </c:catAx>
      <c:valAx>
        <c:axId val="215280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52765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Constantia" panose="02030602050306030303" pitchFamily="18" charset="0"/>
                <a:ea typeface="+mn-ea"/>
                <a:cs typeface="+mn-cs"/>
              </a:defRPr>
            </a:pPr>
            <a:r>
              <a:rPr lang="pt-BR" sz="1100"/>
              <a:t>Reprogramadas - Dias em Atraso</a:t>
            </a:r>
          </a:p>
        </c:rich>
      </c:tx>
      <c:layout>
        <c:manualLayout>
          <c:xMode val="edge"/>
          <c:yMode val="edge"/>
          <c:x val="0.34390195930150252"/>
          <c:y val="3.6571424183406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Constantia" panose="020306020503060303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4002805930281471"/>
          <c:y val="0.11778206310826388"/>
          <c:w val="0.7097875305519713"/>
          <c:h val="0.78406936632920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'SEMI CRÍTICAS'!$E$68:$E$102</c:f>
              <c:strCache>
                <c:ptCount val="35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Constantia" panose="02030602050306030303" pitchFamily="18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'SEMI CRÍTICAS'!$E$68:$E$102</c:f>
            </c:multiLvlStrRef>
          </c:cat>
          <c:val>
            <c:numRef>
              <c:f>'SEMI CRÍTICAS'!$F$68:$F$102</c:f>
            </c:numRef>
          </c:val>
          <c:extLst>
            <c:ext xmlns:c16="http://schemas.microsoft.com/office/drawing/2014/chart" uri="{C3380CC4-5D6E-409C-BE32-E72D297353CC}">
              <c16:uniqueId val="{00000001-5B18-48EB-9F64-8B57480FA49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13066784"/>
        <c:axId val="1913058880"/>
      </c:barChart>
      <c:catAx>
        <c:axId val="19130667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CF224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Constantia" panose="02030602050306030303" pitchFamily="18" charset="0"/>
                <a:ea typeface="+mn-ea"/>
                <a:cs typeface="+mn-cs"/>
              </a:defRPr>
            </a:pPr>
            <a:endParaRPr lang="pt-BR"/>
          </a:p>
        </c:txPr>
        <c:crossAx val="1913058880"/>
        <c:crosses val="autoZero"/>
        <c:auto val="1"/>
        <c:lblAlgn val="ctr"/>
        <c:lblOffset val="100"/>
        <c:noMultiLvlLbl val="0"/>
      </c:catAx>
      <c:valAx>
        <c:axId val="1913058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306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100" baseline="0">
          <a:latin typeface="Constantia" panose="020306020503060303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onstantia" panose="02030602050306030303" pitchFamily="18" charset="0"/>
                <a:ea typeface="+mn-ea"/>
                <a:cs typeface="+mn-cs"/>
              </a:defRPr>
            </a:pPr>
            <a:r>
              <a:rPr lang="en-US" sz="1100" b="1" i="0" baseline="0">
                <a:effectLst/>
                <a:latin typeface="Constantia" panose="02030602050306030303" pitchFamily="18" charset="0"/>
              </a:rPr>
              <a:t>Programadas  Agendadas   </a:t>
            </a:r>
          </a:p>
          <a:p>
            <a:pPr>
              <a:defRPr sz="1100" b="1">
                <a:latin typeface="Constantia" panose="02030602050306030303" pitchFamily="18" charset="0"/>
              </a:defRPr>
            </a:pPr>
            <a:endParaRPr lang="pt-BR" sz="1100" b="1" baseline="0">
              <a:effectLst/>
              <a:latin typeface="Constantia" panose="02030602050306030303" pitchFamily="18" charset="0"/>
            </a:endParaRPr>
          </a:p>
        </c:rich>
      </c:tx>
      <c:layout>
        <c:manualLayout>
          <c:xMode val="edge"/>
          <c:yMode val="edge"/>
          <c:x val="0.32730670038586102"/>
          <c:y val="1.5107661939797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onstantia" panose="020306020503060303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2460833162329966"/>
          <c:y val="8.9840147263810261E-2"/>
          <c:w val="0.75585064707109384"/>
          <c:h val="0.8860088995267285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'Relatório Diário'!$AJ$25:$AJ$27</c:f>
              <c:strCache>
                <c:ptCount val="3"/>
                <c:pt idx="0">
                  <c:v>Pronto atendimento</c:v>
                </c:pt>
                <c:pt idx="1">
                  <c:v>TMO</c:v>
                </c:pt>
                <c:pt idx="2">
                  <c:v>UTI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shade val="30000"/>
                    <a:satMod val="115000"/>
                    <a:alpha val="75000"/>
                  </a:schemeClr>
                </a:gs>
                <a:gs pos="50000">
                  <a:schemeClr val="accent1">
                    <a:shade val="67500"/>
                    <a:satMod val="115000"/>
                    <a:alpha val="81000"/>
                  </a:schemeClr>
                </a:gs>
                <a:gs pos="100000">
                  <a:schemeClr val="accent1">
                    <a:shade val="100000"/>
                    <a:satMod val="115000"/>
                    <a:alpha val="93000"/>
                  </a:schemeClr>
                </a:gs>
              </a:gsLst>
              <a:lin ang="13500000" scaled="1"/>
              <a:tileRect/>
            </a:gradFill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>
              <a:glow rad="101600">
                <a:schemeClr val="accent5">
                  <a:satMod val="175000"/>
                  <a:alpha val="20000"/>
                </a:schemeClr>
              </a:glow>
              <a:outerShdw blurRad="76200" dir="18900000" sy="23000" kx="-1200000" algn="bl" rotWithShape="0">
                <a:prstClr val="black">
                  <a:alpha val="30000"/>
                </a:prstClr>
              </a:outerShdw>
            </a:effectLst>
            <a:scene3d>
              <a:camera prst="orthographicFront"/>
              <a:lightRig rig="freezing" dir="t"/>
            </a:scene3d>
            <a:sp3d prstMaterial="flat"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'Relatório Diário'!$AJ$25:$AJ$27</c:f>
              <c:strCache>
                <c:ptCount val="3"/>
                <c:pt idx="0">
                  <c:v>Pronto atendimento</c:v>
                </c:pt>
                <c:pt idx="1">
                  <c:v>TMO</c:v>
                </c:pt>
                <c:pt idx="2">
                  <c:v>UTI</c:v>
                </c:pt>
              </c:strCache>
            </c:strRef>
          </c:cat>
          <c:val>
            <c:numRef>
              <c:f>'Relatório Diário'!$AK$25:$AK$27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37-4944-88D0-A9845DAA30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50764784"/>
        <c:axId val="1750776432"/>
      </c:barChart>
      <c:catAx>
        <c:axId val="17507647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Constantia" panose="02030602050306030303" pitchFamily="18" charset="0"/>
                <a:ea typeface="+mn-ea"/>
                <a:cs typeface="+mn-cs"/>
              </a:defRPr>
            </a:pPr>
            <a:endParaRPr lang="pt-BR"/>
          </a:p>
        </c:txPr>
        <c:crossAx val="1750776432"/>
        <c:crosses val="autoZero"/>
        <c:auto val="1"/>
        <c:lblAlgn val="ctr"/>
        <c:lblOffset val="100"/>
        <c:noMultiLvlLbl val="0"/>
      </c:catAx>
      <c:valAx>
        <c:axId val="1750776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076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ysClr val="windowText" lastClr="000000"/>
                </a:solidFill>
                <a:latin typeface="Constantia" panose="02030602050306030303" pitchFamily="18" charset="0"/>
                <a:ea typeface="+mn-ea"/>
                <a:cs typeface="+mn-cs"/>
              </a:defRPr>
            </a:pPr>
            <a:r>
              <a:rPr lang="en-US" sz="1050" b="1" baseline="0">
                <a:solidFill>
                  <a:sysClr val="windowText" lastClr="000000"/>
                </a:solidFill>
                <a:latin typeface="Constantia" panose="02030602050306030303" pitchFamily="18" charset="0"/>
              </a:rPr>
              <a:t>Reprogramadas - Dias em Atraso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ysClr val="windowText" lastClr="000000"/>
              </a:solidFill>
              <a:latin typeface="Constantia" panose="020306020503060303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7728825647835383"/>
          <c:y val="5.8983714355283164E-2"/>
          <c:w val="0.80051653540959489"/>
          <c:h val="0.889922756701000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'ÁREAS CRÍTICAS'!$E$57:$E$102</c:f>
              <c:strCache>
                <c:ptCount val="46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'ÁREAS CRÍTICAS'!$E$57:$E$102</c:f>
            </c:multiLvlStrRef>
          </c:cat>
          <c:val>
            <c:numRef>
              <c:f>'ÁREAS CRÍTICAS'!$F$57:$F$102</c:f>
            </c:numRef>
          </c:val>
          <c:extLst>
            <c:ext xmlns:c16="http://schemas.microsoft.com/office/drawing/2014/chart" uri="{C3380CC4-5D6E-409C-BE32-E72D297353CC}">
              <c16:uniqueId val="{00000001-E010-40F1-8388-1A66669FD4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5077680"/>
        <c:axId val="105076016"/>
      </c:barChart>
      <c:catAx>
        <c:axId val="105077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CF224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onstantia" panose="02030602050306030303" pitchFamily="18" charset="0"/>
                <a:ea typeface="+mn-ea"/>
                <a:cs typeface="+mn-cs"/>
              </a:defRPr>
            </a:pPr>
            <a:endParaRPr lang="pt-BR"/>
          </a:p>
        </c:txPr>
        <c:crossAx val="105076016"/>
        <c:crosses val="autoZero"/>
        <c:auto val="1"/>
        <c:lblAlgn val="ctr"/>
        <c:lblOffset val="100"/>
        <c:noMultiLvlLbl val="0"/>
      </c:catAx>
      <c:valAx>
        <c:axId val="105076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507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22</xdr:row>
          <xdr:rowOff>104775</xdr:rowOff>
        </xdr:from>
        <xdr:to>
          <xdr:col>16</xdr:col>
          <xdr:colOff>485775</xdr:colOff>
          <xdr:row>24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Georgia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47625</xdr:rowOff>
        </xdr:from>
        <xdr:to>
          <xdr:col>0</xdr:col>
          <xdr:colOff>2505075</xdr:colOff>
          <xdr:row>11</xdr:row>
          <xdr:rowOff>0</xdr:rowOff>
        </xdr:to>
        <xdr:sp macro="" textlink="">
          <xdr:nvSpPr>
            <xdr:cNvPr id="3085" name="CommandButton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142875</xdr:rowOff>
        </xdr:from>
        <xdr:to>
          <xdr:col>0</xdr:col>
          <xdr:colOff>2505075</xdr:colOff>
          <xdr:row>13</xdr:row>
          <xdr:rowOff>85725</xdr:rowOff>
        </xdr:to>
        <xdr:sp macro="" textlink="">
          <xdr:nvSpPr>
            <xdr:cNvPr id="3086" name="CommandButton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13</xdr:row>
          <xdr:rowOff>190500</xdr:rowOff>
        </xdr:from>
        <xdr:to>
          <xdr:col>0</xdr:col>
          <xdr:colOff>2505075</xdr:colOff>
          <xdr:row>15</xdr:row>
          <xdr:rowOff>133350</xdr:rowOff>
        </xdr:to>
        <xdr:sp macro="" textlink="">
          <xdr:nvSpPr>
            <xdr:cNvPr id="3087" name="CommandButton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16</xdr:row>
          <xdr:rowOff>38100</xdr:rowOff>
        </xdr:from>
        <xdr:to>
          <xdr:col>0</xdr:col>
          <xdr:colOff>2505075</xdr:colOff>
          <xdr:row>17</xdr:row>
          <xdr:rowOff>190500</xdr:rowOff>
        </xdr:to>
        <xdr:sp macro="" textlink="">
          <xdr:nvSpPr>
            <xdr:cNvPr id="3088" name="CommandButton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18</xdr:row>
          <xdr:rowOff>85725</xdr:rowOff>
        </xdr:from>
        <xdr:to>
          <xdr:col>0</xdr:col>
          <xdr:colOff>2505075</xdr:colOff>
          <xdr:row>20</xdr:row>
          <xdr:rowOff>38100</xdr:rowOff>
        </xdr:to>
        <xdr:sp macro="" textlink="">
          <xdr:nvSpPr>
            <xdr:cNvPr id="3089" name="CommandButton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5</xdr:row>
          <xdr:rowOff>171450</xdr:rowOff>
        </xdr:from>
        <xdr:to>
          <xdr:col>0</xdr:col>
          <xdr:colOff>2562225</xdr:colOff>
          <xdr:row>7</xdr:row>
          <xdr:rowOff>123825</xdr:rowOff>
        </xdr:to>
        <xdr:sp macro="" textlink="">
          <xdr:nvSpPr>
            <xdr:cNvPr id="3093" name="ComboBox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123825</xdr:rowOff>
        </xdr:from>
        <xdr:to>
          <xdr:col>0</xdr:col>
          <xdr:colOff>2552700</xdr:colOff>
          <xdr:row>17</xdr:row>
          <xdr:rowOff>66675</xdr:rowOff>
        </xdr:to>
        <xdr:sp macro="" textlink="">
          <xdr:nvSpPr>
            <xdr:cNvPr id="2064" name="CommandButton15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0</xdr:rowOff>
        </xdr:from>
        <xdr:to>
          <xdr:col>0</xdr:col>
          <xdr:colOff>2552700</xdr:colOff>
          <xdr:row>22</xdr:row>
          <xdr:rowOff>152400</xdr:rowOff>
        </xdr:to>
        <xdr:sp macro="" textlink="">
          <xdr:nvSpPr>
            <xdr:cNvPr id="2066" name="CommandButton17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171450</xdr:rowOff>
        </xdr:from>
        <xdr:to>
          <xdr:col>0</xdr:col>
          <xdr:colOff>2552700</xdr:colOff>
          <xdr:row>14</xdr:row>
          <xdr:rowOff>123825</xdr:rowOff>
        </xdr:to>
        <xdr:sp macro="" textlink="">
          <xdr:nvSpPr>
            <xdr:cNvPr id="2083" name="CommandButton19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28575</xdr:rowOff>
        </xdr:from>
        <xdr:to>
          <xdr:col>0</xdr:col>
          <xdr:colOff>2552700</xdr:colOff>
          <xdr:row>11</xdr:row>
          <xdr:rowOff>180975</xdr:rowOff>
        </xdr:to>
        <xdr:sp macro="" textlink="">
          <xdr:nvSpPr>
            <xdr:cNvPr id="2084" name="CommandButton14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47625</xdr:rowOff>
        </xdr:from>
        <xdr:to>
          <xdr:col>0</xdr:col>
          <xdr:colOff>2552700</xdr:colOff>
          <xdr:row>20</xdr:row>
          <xdr:rowOff>0</xdr:rowOff>
        </xdr:to>
        <xdr:sp macro="" textlink="">
          <xdr:nvSpPr>
            <xdr:cNvPr id="2088" name="CommandButton2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6</xdr:row>
          <xdr:rowOff>142875</xdr:rowOff>
        </xdr:from>
        <xdr:to>
          <xdr:col>0</xdr:col>
          <xdr:colOff>2571750</xdr:colOff>
          <xdr:row>8</xdr:row>
          <xdr:rowOff>104775</xdr:rowOff>
        </xdr:to>
        <xdr:sp macro="" textlink="">
          <xdr:nvSpPr>
            <xdr:cNvPr id="2091" name="ComboBox1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</xdr:row>
      <xdr:rowOff>11906</xdr:rowOff>
    </xdr:from>
    <xdr:to>
      <xdr:col>9</xdr:col>
      <xdr:colOff>16668</xdr:colOff>
      <xdr:row>14</xdr:row>
      <xdr:rowOff>36690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</xdr:row>
      <xdr:rowOff>0</xdr:rowOff>
    </xdr:from>
    <xdr:to>
      <xdr:col>20</xdr:col>
      <xdr:colOff>404813</xdr:colOff>
      <xdr:row>13</xdr:row>
      <xdr:rowOff>178594</xdr:rowOff>
    </xdr:to>
    <xdr:graphicFrame macro="">
      <xdr:nvGraphicFramePr>
        <xdr:cNvPr id="3" name="Gráfico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</xdr:colOff>
      <xdr:row>28</xdr:row>
      <xdr:rowOff>15878</xdr:rowOff>
    </xdr:from>
    <xdr:to>
      <xdr:col>8</xdr:col>
      <xdr:colOff>583408</xdr:colOff>
      <xdr:row>38</xdr:row>
      <xdr:rowOff>214314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23812</xdr:colOff>
      <xdr:row>27</xdr:row>
      <xdr:rowOff>178594</xdr:rowOff>
    </xdr:from>
    <xdr:to>
      <xdr:col>20</xdr:col>
      <xdr:colOff>416719</xdr:colOff>
      <xdr:row>38</xdr:row>
      <xdr:rowOff>206375</xdr:rowOff>
    </xdr:to>
    <xdr:graphicFrame macro="">
      <xdr:nvGraphicFramePr>
        <xdr:cNvPr id="5" name="Gráfico4" title="sdgxxw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abela353" displayName="Tabela353" ref="E56:F102" headerRowDxfId="8" dataDxfId="7" totalsRowDxfId="5" tableBorderDxfId="6" totalsRowBorderDxfId="4">
  <autoFilter ref="E56:F102">
    <filterColumn colId="0">
      <customFilters>
        <customFilter operator="notEqual" val=" "/>
      </customFilters>
    </filterColumn>
  </autoFilter>
  <tableColumns count="2">
    <tableColumn id="1" name="Reprogramadas " totalsRowLabel="Total" dataDxfId="3" totalsRowDxfId="2"/>
    <tableColumn id="2" name="Dias em Atraso" totalsRowFunction="count" dataDxfId="1" totalsRowDxfId="0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3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B2:R27"/>
  <sheetViews>
    <sheetView showGridLines="0" showRowColHeaders="0" zoomScale="90" zoomScaleNormal="90" workbookViewId="0">
      <selection activeCell="K22" sqref="K22"/>
    </sheetView>
  </sheetViews>
  <sheetFormatPr defaultRowHeight="15" x14ac:dyDescent="0.25"/>
  <cols>
    <col min="4" max="4" width="19.5703125" customWidth="1"/>
  </cols>
  <sheetData>
    <row r="2" spans="2:18" ht="15.75" thickBot="1" x14ac:dyDescent="0.3"/>
    <row r="3" spans="2:18" ht="15.75" thickTop="1" x14ac:dyDescent="0.25">
      <c r="B3" s="25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7"/>
    </row>
    <row r="4" spans="2:18" x14ac:dyDescent="0.25">
      <c r="B4" s="28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30"/>
    </row>
    <row r="5" spans="2:18" x14ac:dyDescent="0.25">
      <c r="B5" s="28"/>
      <c r="C5" s="29"/>
      <c r="D5" s="29"/>
      <c r="E5" s="161" t="s">
        <v>20</v>
      </c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29"/>
      <c r="Q5" s="29"/>
      <c r="R5" s="30"/>
    </row>
    <row r="6" spans="2:18" x14ac:dyDescent="0.25">
      <c r="B6" s="28"/>
      <c r="C6" s="29"/>
      <c r="D6" s="29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29"/>
      <c r="Q6" s="29"/>
      <c r="R6" s="30"/>
    </row>
    <row r="7" spans="2:18" ht="15.75" thickBo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30"/>
    </row>
    <row r="8" spans="2:18" ht="16.5" thickBot="1" x14ac:dyDescent="0.3">
      <c r="B8" s="28"/>
      <c r="C8" s="29"/>
      <c r="D8" s="36"/>
      <c r="E8" s="37">
        <v>701</v>
      </c>
      <c r="F8" s="38">
        <v>702</v>
      </c>
      <c r="G8" s="39">
        <v>703</v>
      </c>
      <c r="H8" s="38">
        <v>704</v>
      </c>
      <c r="I8" s="40">
        <v>705</v>
      </c>
      <c r="J8" s="38">
        <v>706</v>
      </c>
      <c r="K8" s="39">
        <v>707</v>
      </c>
      <c r="L8" s="38">
        <v>708</v>
      </c>
      <c r="M8" s="39">
        <v>709</v>
      </c>
      <c r="N8" s="41">
        <v>710</v>
      </c>
      <c r="O8" s="39">
        <v>711</v>
      </c>
      <c r="P8" s="42">
        <v>712</v>
      </c>
      <c r="Q8" s="36"/>
      <c r="R8" s="30"/>
    </row>
    <row r="9" spans="2:18" ht="16.5" thickBot="1" x14ac:dyDescent="0.3">
      <c r="B9" s="28"/>
      <c r="C9" s="29"/>
      <c r="D9" s="43" t="s">
        <v>17</v>
      </c>
      <c r="E9" s="127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9"/>
      <c r="Q9" s="36"/>
      <c r="R9" s="30"/>
    </row>
    <row r="10" spans="2:18" ht="16.5" thickBot="1" x14ac:dyDescent="0.3">
      <c r="B10" s="28"/>
      <c r="C10" s="29"/>
      <c r="D10" s="44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0"/>
    </row>
    <row r="11" spans="2:18" ht="16.5" thickBot="1" x14ac:dyDescent="0.3">
      <c r="B11" s="28"/>
      <c r="C11" s="29"/>
      <c r="D11" s="44"/>
      <c r="E11" s="35">
        <v>521</v>
      </c>
      <c r="F11" s="45">
        <v>522</v>
      </c>
      <c r="G11" s="38">
        <v>523</v>
      </c>
      <c r="H11" s="39">
        <v>524</v>
      </c>
      <c r="I11" s="38">
        <v>525</v>
      </c>
      <c r="J11" s="45">
        <v>526</v>
      </c>
      <c r="K11" s="38">
        <v>527</v>
      </c>
      <c r="L11" s="39">
        <v>528</v>
      </c>
      <c r="M11" s="46">
        <v>529</v>
      </c>
      <c r="N11" s="36"/>
      <c r="O11" s="36"/>
      <c r="P11" s="36"/>
      <c r="Q11" s="36"/>
      <c r="R11" s="30"/>
    </row>
    <row r="12" spans="2:18" ht="16.5" thickBot="1" x14ac:dyDescent="0.3">
      <c r="B12" s="28"/>
      <c r="C12" s="29"/>
      <c r="D12" s="43" t="s">
        <v>18</v>
      </c>
      <c r="E12" s="127"/>
      <c r="F12" s="128"/>
      <c r="G12" s="128"/>
      <c r="H12" s="128"/>
      <c r="I12" s="128"/>
      <c r="J12" s="128"/>
      <c r="K12" s="128"/>
      <c r="L12" s="128"/>
      <c r="M12" s="129"/>
      <c r="N12" s="36"/>
      <c r="O12" s="36"/>
      <c r="P12" s="36"/>
      <c r="Q12" s="36"/>
      <c r="R12" s="30"/>
    </row>
    <row r="13" spans="2:18" ht="16.5" thickBot="1" x14ac:dyDescent="0.3">
      <c r="B13" s="28"/>
      <c r="C13" s="29"/>
      <c r="D13" s="44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0"/>
    </row>
    <row r="14" spans="2:18" ht="16.5" thickBot="1" x14ac:dyDescent="0.3">
      <c r="B14" s="28"/>
      <c r="C14" s="29"/>
      <c r="D14" s="44"/>
      <c r="E14" s="37">
        <v>421</v>
      </c>
      <c r="F14" s="38">
        <v>422</v>
      </c>
      <c r="G14" s="39">
        <v>423</v>
      </c>
      <c r="H14" s="38">
        <v>424</v>
      </c>
      <c r="I14" s="40">
        <v>425</v>
      </c>
      <c r="J14" s="38">
        <v>426</v>
      </c>
      <c r="K14" s="39">
        <v>427</v>
      </c>
      <c r="L14" s="38">
        <v>428</v>
      </c>
      <c r="M14" s="39">
        <v>429</v>
      </c>
      <c r="N14" s="38">
        <v>430</v>
      </c>
      <c r="O14" s="39">
        <v>431</v>
      </c>
      <c r="P14" s="38">
        <v>432</v>
      </c>
      <c r="Q14" s="47">
        <v>433</v>
      </c>
      <c r="R14" s="30"/>
    </row>
    <row r="15" spans="2:18" ht="16.5" thickBot="1" x14ac:dyDescent="0.3">
      <c r="B15" s="28"/>
      <c r="C15" s="29"/>
      <c r="D15" s="43" t="s">
        <v>19</v>
      </c>
      <c r="E15" s="127"/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9"/>
      <c r="R15" s="30"/>
    </row>
    <row r="16" spans="2:18" ht="16.5" thickBot="1" x14ac:dyDescent="0.3">
      <c r="B16" s="28"/>
      <c r="C16" s="29"/>
      <c r="D16" s="44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0"/>
    </row>
    <row r="17" spans="2:18" ht="16.5" thickBot="1" x14ac:dyDescent="0.3">
      <c r="B17" s="28"/>
      <c r="C17" s="29"/>
      <c r="D17" s="44"/>
      <c r="E17" s="35">
        <v>501</v>
      </c>
      <c r="F17" s="45">
        <v>502</v>
      </c>
      <c r="G17" s="38">
        <v>503</v>
      </c>
      <c r="H17" s="39">
        <v>504</v>
      </c>
      <c r="I17" s="38">
        <v>505</v>
      </c>
      <c r="J17" s="45">
        <v>506</v>
      </c>
      <c r="K17" s="38">
        <v>507</v>
      </c>
      <c r="L17" s="39">
        <v>508</v>
      </c>
      <c r="M17" s="38">
        <v>509</v>
      </c>
      <c r="N17" s="39">
        <v>510</v>
      </c>
      <c r="O17" s="38">
        <v>511</v>
      </c>
      <c r="P17" s="47">
        <v>512</v>
      </c>
      <c r="Q17" s="36"/>
      <c r="R17" s="30"/>
    </row>
    <row r="18" spans="2:18" ht="16.5" thickBot="1" x14ac:dyDescent="0.3">
      <c r="B18" s="28"/>
      <c r="C18" s="29"/>
      <c r="D18" s="43" t="s">
        <v>7</v>
      </c>
      <c r="E18" s="127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9"/>
      <c r="Q18" s="36"/>
      <c r="R18" s="30"/>
    </row>
    <row r="19" spans="2:18" ht="16.5" thickBot="1" x14ac:dyDescent="0.3">
      <c r="B19" s="28"/>
      <c r="C19" s="29"/>
      <c r="D19" s="44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0"/>
    </row>
    <row r="20" spans="2:18" ht="16.5" thickBot="1" x14ac:dyDescent="0.3">
      <c r="B20" s="28"/>
      <c r="C20" s="29"/>
      <c r="D20" s="44"/>
      <c r="E20" s="37">
        <v>1</v>
      </c>
      <c r="F20" s="38">
        <v>2</v>
      </c>
      <c r="G20" s="39">
        <v>3</v>
      </c>
      <c r="H20" s="38">
        <v>4</v>
      </c>
      <c r="I20" s="40">
        <v>5</v>
      </c>
      <c r="J20" s="38">
        <v>6</v>
      </c>
      <c r="K20" s="39">
        <v>7</v>
      </c>
      <c r="L20" s="38">
        <v>8</v>
      </c>
      <c r="M20" s="39">
        <v>9</v>
      </c>
      <c r="N20" s="38">
        <v>10</v>
      </c>
      <c r="O20" s="48">
        <v>11</v>
      </c>
      <c r="P20" s="49"/>
      <c r="Q20" s="36"/>
      <c r="R20" s="30"/>
    </row>
    <row r="21" spans="2:18" ht="16.5" thickBot="1" x14ac:dyDescent="0.3">
      <c r="B21" s="28"/>
      <c r="C21" s="29"/>
      <c r="D21" s="43" t="s">
        <v>9</v>
      </c>
      <c r="E21" s="127"/>
      <c r="F21" s="128"/>
      <c r="G21" s="128"/>
      <c r="H21" s="128"/>
      <c r="I21" s="128"/>
      <c r="J21" s="128"/>
      <c r="K21" s="128"/>
      <c r="L21" s="128"/>
      <c r="M21" s="128"/>
      <c r="N21" s="128"/>
      <c r="O21" s="129"/>
      <c r="P21" s="36"/>
      <c r="Q21" s="36"/>
      <c r="R21" s="30"/>
    </row>
    <row r="22" spans="2:18" ht="16.5" thickBot="1" x14ac:dyDescent="0.3">
      <c r="B22" s="28"/>
      <c r="C22" s="29"/>
      <c r="D22" s="44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0"/>
    </row>
    <row r="23" spans="2:18" ht="16.5" thickBot="1" x14ac:dyDescent="0.3">
      <c r="B23" s="28"/>
      <c r="C23" s="29"/>
      <c r="D23" s="36"/>
      <c r="E23" s="35">
        <v>1</v>
      </c>
      <c r="F23" s="50">
        <v>2</v>
      </c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0"/>
    </row>
    <row r="24" spans="2:18" ht="16.5" thickBot="1" x14ac:dyDescent="0.3">
      <c r="B24" s="28"/>
      <c r="C24" s="29"/>
      <c r="D24" s="43" t="s">
        <v>10</v>
      </c>
      <c r="E24" s="127"/>
      <c r="F24" s="130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0"/>
    </row>
    <row r="25" spans="2:18" x14ac:dyDescent="0.25">
      <c r="B25" s="28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0"/>
    </row>
    <row r="26" spans="2:18" ht="15.75" thickBot="1" x14ac:dyDescent="0.3">
      <c r="B26" s="31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3"/>
    </row>
    <row r="27" spans="2:18" ht="15.75" thickTop="1" x14ac:dyDescent="0.25"/>
  </sheetData>
  <sheetProtection sheet="1" objects="1" scenarios="1"/>
  <mergeCells count="1">
    <mergeCell ref="E5:O6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staPastaDeTrabalho.Atualização">
                <anchor moveWithCells="1" sizeWithCells="1">
                  <from>
                    <xdr:col>13</xdr:col>
                    <xdr:colOff>76200</xdr:colOff>
                    <xdr:row>22</xdr:row>
                    <xdr:rowOff>104775</xdr:rowOff>
                  </from>
                  <to>
                    <xdr:col>16</xdr:col>
                    <xdr:colOff>485775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9:M21"/>
  <sheetViews>
    <sheetView showGridLines="0" showRowColHeaders="0" workbookViewId="0">
      <selection activeCell="M14" sqref="M14"/>
    </sheetView>
  </sheetViews>
  <sheetFormatPr defaultRowHeight="15" x14ac:dyDescent="0.25"/>
  <cols>
    <col min="4" max="4" width="14.7109375" bestFit="1" customWidth="1"/>
    <col min="5" max="11" width="12.140625" bestFit="1" customWidth="1"/>
  </cols>
  <sheetData>
    <row r="9" spans="2:13" x14ac:dyDescent="0.25">
      <c r="B9" s="161" t="s">
        <v>78</v>
      </c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</row>
    <row r="10" spans="2:13" x14ac:dyDescent="0.25"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</row>
    <row r="13" spans="2:13" ht="15.75" thickBot="1" x14ac:dyDescent="0.3"/>
    <row r="14" spans="2:13" ht="30.75" thickTop="1" thickBot="1" x14ac:dyDescent="0.3">
      <c r="D14" s="153" t="s">
        <v>79</v>
      </c>
      <c r="E14" s="154">
        <f ca="1">TODAY()+1</f>
        <v>44705</v>
      </c>
      <c r="F14" s="154">
        <f ca="1">TODAY()+2</f>
        <v>44706</v>
      </c>
      <c r="G14" s="154">
        <f ca="1">TODAY()+3</f>
        <v>44707</v>
      </c>
      <c r="H14" s="154">
        <f ca="1">TODAY()+4</f>
        <v>44708</v>
      </c>
      <c r="I14" s="154">
        <f ca="1">TODAY()+5</f>
        <v>44709</v>
      </c>
      <c r="J14" s="154">
        <f ca="1">TODAY()+6</f>
        <v>44710</v>
      </c>
      <c r="K14" s="154">
        <f ca="1">TODAY()+7</f>
        <v>44711</v>
      </c>
    </row>
    <row r="15" spans="2:13" s="151" customFormat="1" ht="81.95" customHeight="1" thickTop="1" thickBot="1" x14ac:dyDescent="0.3">
      <c r="D15" s="152" t="s">
        <v>25</v>
      </c>
      <c r="E15" s="155"/>
      <c r="F15" s="155"/>
      <c r="G15" s="155"/>
      <c r="H15" s="155"/>
      <c r="I15" s="155"/>
      <c r="J15" s="155"/>
      <c r="K15" s="155"/>
    </row>
    <row r="16" spans="2:13" s="151" customFormat="1" ht="81.95" customHeight="1" thickTop="1" thickBot="1" x14ac:dyDescent="0.3">
      <c r="D16" s="152" t="s">
        <v>77</v>
      </c>
      <c r="E16" s="155"/>
      <c r="F16" s="155"/>
      <c r="G16" s="155"/>
      <c r="H16" s="155"/>
      <c r="I16" s="155"/>
      <c r="J16" s="155"/>
      <c r="K16" s="155"/>
    </row>
    <row r="17" spans="4:11" s="151" customFormat="1" ht="81.95" customHeight="1" thickTop="1" thickBot="1" x14ac:dyDescent="0.3">
      <c r="D17" s="152" t="s">
        <v>27</v>
      </c>
      <c r="E17" s="155"/>
      <c r="F17" s="155"/>
      <c r="G17" s="155"/>
      <c r="H17" s="155"/>
      <c r="I17" s="155"/>
      <c r="J17" s="155"/>
      <c r="K17" s="155"/>
    </row>
    <row r="18" spans="4:11" s="151" customFormat="1" ht="81.95" customHeight="1" thickTop="1" thickBot="1" x14ac:dyDescent="0.3">
      <c r="D18" s="152" t="s">
        <v>7</v>
      </c>
      <c r="E18" s="155"/>
      <c r="F18" s="155"/>
      <c r="G18" s="155"/>
      <c r="H18" s="155"/>
      <c r="I18" s="155"/>
      <c r="J18" s="155"/>
      <c r="K18" s="155"/>
    </row>
    <row r="19" spans="4:11" s="151" customFormat="1" ht="81.95" customHeight="1" thickTop="1" thickBot="1" x14ac:dyDescent="0.3">
      <c r="D19" s="152" t="s">
        <v>9</v>
      </c>
      <c r="E19" s="155"/>
      <c r="F19" s="155"/>
      <c r="G19" s="155"/>
      <c r="H19" s="155"/>
      <c r="I19" s="155"/>
      <c r="J19" s="155"/>
      <c r="K19" s="155"/>
    </row>
    <row r="20" spans="4:11" s="151" customFormat="1" ht="81.95" customHeight="1" thickTop="1" thickBot="1" x14ac:dyDescent="0.3">
      <c r="D20" s="152" t="s">
        <v>10</v>
      </c>
      <c r="E20" s="155"/>
      <c r="F20" s="155"/>
      <c r="G20" s="155"/>
      <c r="H20" s="155"/>
      <c r="I20" s="155"/>
      <c r="J20" s="155"/>
      <c r="K20" s="155"/>
    </row>
    <row r="21" spans="4:11" ht="15.75" thickTop="1" x14ac:dyDescent="0.25"/>
  </sheetData>
  <sheetProtection sheet="1" objects="1" scenarios="1"/>
  <mergeCells count="1">
    <mergeCell ref="B9:M10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NJ44198"/>
  <sheetViews>
    <sheetView showGridLines="0" showRowColHeaders="0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3" sqref="C13"/>
    </sheetView>
  </sheetViews>
  <sheetFormatPr defaultRowHeight="15" x14ac:dyDescent="0.25"/>
  <cols>
    <col min="1" max="1" width="39" style="1" customWidth="1"/>
    <col min="2" max="2" width="29.140625" style="1" customWidth="1"/>
    <col min="3" max="214" width="15.7109375" style="1" customWidth="1"/>
    <col min="215" max="215" width="16.140625" style="1" customWidth="1"/>
    <col min="216" max="368" width="15.7109375" style="1" customWidth="1"/>
    <col min="369" max="369" width="15.7109375" style="3" customWidth="1"/>
    <col min="370" max="370" width="15.7109375" style="1" customWidth="1"/>
    <col min="371" max="372" width="9.140625" style="1" customWidth="1"/>
    <col min="373" max="506" width="0" style="1" hidden="1" customWidth="1"/>
    <col min="507" max="508" width="9.140625" style="1"/>
    <col min="509" max="1104" width="0" style="1" hidden="1" customWidth="1"/>
    <col min="1105" max="16384" width="9.140625" style="1"/>
  </cols>
  <sheetData>
    <row r="1" spans="1:374" s="4" customFormat="1" x14ac:dyDescent="0.25">
      <c r="B1" s="162" t="s">
        <v>8</v>
      </c>
      <c r="C1" s="17" t="s">
        <v>5</v>
      </c>
      <c r="D1" s="17" t="s">
        <v>6</v>
      </c>
      <c r="E1" s="17" t="s">
        <v>0</v>
      </c>
      <c r="F1" s="17" t="s">
        <v>1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0</v>
      </c>
      <c r="M1" s="17" t="s">
        <v>1</v>
      </c>
      <c r="N1" s="17" t="s">
        <v>2</v>
      </c>
      <c r="O1" s="17" t="s">
        <v>3</v>
      </c>
      <c r="P1" s="17" t="s">
        <v>4</v>
      </c>
      <c r="Q1" s="17" t="s">
        <v>5</v>
      </c>
      <c r="R1" s="17" t="s">
        <v>6</v>
      </c>
      <c r="S1" s="17" t="s">
        <v>0</v>
      </c>
      <c r="T1" s="17" t="s">
        <v>1</v>
      </c>
      <c r="U1" s="17" t="s">
        <v>2</v>
      </c>
      <c r="V1" s="17" t="s">
        <v>3</v>
      </c>
      <c r="W1" s="17" t="s">
        <v>4</v>
      </c>
      <c r="X1" s="17" t="s">
        <v>5</v>
      </c>
      <c r="Y1" s="17" t="s">
        <v>6</v>
      </c>
      <c r="Z1" s="17" t="s">
        <v>0</v>
      </c>
      <c r="AA1" s="17" t="s">
        <v>1</v>
      </c>
      <c r="AB1" s="17" t="s">
        <v>2</v>
      </c>
      <c r="AC1" s="17" t="s">
        <v>3</v>
      </c>
      <c r="AD1" s="17" t="s">
        <v>4</v>
      </c>
      <c r="AE1" s="17" t="s">
        <v>5</v>
      </c>
      <c r="AF1" s="17" t="s">
        <v>6</v>
      </c>
      <c r="AG1" s="17" t="s">
        <v>0</v>
      </c>
      <c r="AH1" s="17" t="s">
        <v>1</v>
      </c>
      <c r="AI1" s="17" t="s">
        <v>2</v>
      </c>
      <c r="AJ1" s="17" t="s">
        <v>3</v>
      </c>
      <c r="AK1" s="17" t="s">
        <v>4</v>
      </c>
      <c r="AL1" s="17" t="s">
        <v>5</v>
      </c>
      <c r="AM1" s="17" t="s">
        <v>6</v>
      </c>
      <c r="AN1" s="17" t="s">
        <v>0</v>
      </c>
      <c r="AO1" s="17" t="s">
        <v>1</v>
      </c>
      <c r="AP1" s="17" t="s">
        <v>2</v>
      </c>
      <c r="AQ1" s="17" t="s">
        <v>3</v>
      </c>
      <c r="AR1" s="17" t="s">
        <v>4</v>
      </c>
      <c r="AS1" s="17" t="s">
        <v>5</v>
      </c>
      <c r="AT1" s="17" t="s">
        <v>6</v>
      </c>
      <c r="AU1" s="17" t="s">
        <v>0</v>
      </c>
      <c r="AV1" s="17" t="s">
        <v>1</v>
      </c>
      <c r="AW1" s="17" t="s">
        <v>2</v>
      </c>
      <c r="AX1" s="17" t="s">
        <v>3</v>
      </c>
      <c r="AY1" s="17" t="s">
        <v>4</v>
      </c>
      <c r="AZ1" s="17" t="s">
        <v>5</v>
      </c>
      <c r="BA1" s="17" t="s">
        <v>6</v>
      </c>
      <c r="BB1" s="17" t="s">
        <v>0</v>
      </c>
      <c r="BC1" s="17" t="s">
        <v>1</v>
      </c>
      <c r="BD1" s="17" t="s">
        <v>2</v>
      </c>
      <c r="BE1" s="17" t="s">
        <v>3</v>
      </c>
      <c r="BF1" s="17" t="s">
        <v>4</v>
      </c>
      <c r="BG1" s="17" t="s">
        <v>5</v>
      </c>
      <c r="BH1" s="17" t="s">
        <v>6</v>
      </c>
      <c r="BI1" s="17" t="s">
        <v>0</v>
      </c>
      <c r="BJ1" s="17" t="s">
        <v>1</v>
      </c>
      <c r="BK1" s="17" t="s">
        <v>2</v>
      </c>
      <c r="BL1" s="17" t="s">
        <v>3</v>
      </c>
      <c r="BM1" s="17" t="s">
        <v>4</v>
      </c>
      <c r="BN1" s="17" t="s">
        <v>5</v>
      </c>
      <c r="BO1" s="17" t="s">
        <v>6</v>
      </c>
      <c r="BP1" s="17" t="s">
        <v>0</v>
      </c>
      <c r="BQ1" s="17" t="s">
        <v>1</v>
      </c>
      <c r="BR1" s="17" t="s">
        <v>2</v>
      </c>
      <c r="BS1" s="17" t="s">
        <v>3</v>
      </c>
      <c r="BT1" s="17" t="s">
        <v>4</v>
      </c>
      <c r="BU1" s="17" t="s">
        <v>5</v>
      </c>
      <c r="BV1" s="17" t="s">
        <v>6</v>
      </c>
      <c r="BW1" s="17" t="s">
        <v>0</v>
      </c>
      <c r="BX1" s="17" t="s">
        <v>1</v>
      </c>
      <c r="BY1" s="17" t="s">
        <v>2</v>
      </c>
      <c r="BZ1" s="17" t="s">
        <v>3</v>
      </c>
      <c r="CA1" s="17" t="s">
        <v>4</v>
      </c>
      <c r="CB1" s="17" t="s">
        <v>5</v>
      </c>
      <c r="CC1" s="17" t="s">
        <v>6</v>
      </c>
      <c r="CD1" s="17" t="s">
        <v>0</v>
      </c>
      <c r="CE1" s="17" t="s">
        <v>1</v>
      </c>
      <c r="CF1" s="17" t="s">
        <v>2</v>
      </c>
      <c r="CG1" s="17" t="s">
        <v>3</v>
      </c>
      <c r="CH1" s="17" t="s">
        <v>4</v>
      </c>
      <c r="CI1" s="17" t="s">
        <v>5</v>
      </c>
      <c r="CJ1" s="17" t="s">
        <v>6</v>
      </c>
      <c r="CK1" s="17" t="s">
        <v>0</v>
      </c>
      <c r="CL1" s="17" t="s">
        <v>1</v>
      </c>
      <c r="CM1" s="17" t="s">
        <v>2</v>
      </c>
      <c r="CN1" s="17" t="s">
        <v>3</v>
      </c>
      <c r="CO1" s="17" t="s">
        <v>4</v>
      </c>
      <c r="CP1" s="17" t="s">
        <v>5</v>
      </c>
      <c r="CQ1" s="17" t="s">
        <v>6</v>
      </c>
      <c r="CR1" s="17" t="s">
        <v>0</v>
      </c>
      <c r="CS1" s="17" t="s">
        <v>1</v>
      </c>
      <c r="CT1" s="17" t="s">
        <v>2</v>
      </c>
      <c r="CU1" s="17" t="s">
        <v>3</v>
      </c>
      <c r="CV1" s="17" t="s">
        <v>4</v>
      </c>
      <c r="CW1" s="17" t="s">
        <v>5</v>
      </c>
      <c r="CX1" s="17" t="s">
        <v>6</v>
      </c>
      <c r="CY1" s="17" t="s">
        <v>0</v>
      </c>
      <c r="CZ1" s="17" t="s">
        <v>1</v>
      </c>
      <c r="DA1" s="17" t="s">
        <v>2</v>
      </c>
      <c r="DB1" s="17" t="s">
        <v>3</v>
      </c>
      <c r="DC1" s="17" t="s">
        <v>4</v>
      </c>
      <c r="DD1" s="17" t="s">
        <v>5</v>
      </c>
      <c r="DE1" s="17" t="s">
        <v>6</v>
      </c>
      <c r="DF1" s="17" t="s">
        <v>0</v>
      </c>
      <c r="DG1" s="17" t="s">
        <v>1</v>
      </c>
      <c r="DH1" s="17" t="s">
        <v>2</v>
      </c>
      <c r="DI1" s="17" t="s">
        <v>3</v>
      </c>
      <c r="DJ1" s="17" t="s">
        <v>4</v>
      </c>
      <c r="DK1" s="17" t="s">
        <v>5</v>
      </c>
      <c r="DL1" s="17" t="s">
        <v>6</v>
      </c>
      <c r="DM1" s="17" t="s">
        <v>0</v>
      </c>
      <c r="DN1" s="17" t="s">
        <v>1</v>
      </c>
      <c r="DO1" s="17" t="s">
        <v>2</v>
      </c>
      <c r="DP1" s="17" t="s">
        <v>3</v>
      </c>
      <c r="DQ1" s="17" t="s">
        <v>4</v>
      </c>
      <c r="DR1" s="17" t="s">
        <v>5</v>
      </c>
      <c r="DS1" s="17" t="s">
        <v>6</v>
      </c>
      <c r="DT1" s="17" t="s">
        <v>0</v>
      </c>
      <c r="DU1" s="17" t="s">
        <v>1</v>
      </c>
      <c r="DV1" s="17" t="s">
        <v>2</v>
      </c>
      <c r="DW1" s="17" t="s">
        <v>3</v>
      </c>
      <c r="DX1" s="17" t="s">
        <v>4</v>
      </c>
      <c r="DY1" s="17" t="s">
        <v>5</v>
      </c>
      <c r="DZ1" s="17" t="s">
        <v>6</v>
      </c>
      <c r="EA1" s="17" t="s">
        <v>0</v>
      </c>
      <c r="EB1" s="17" t="s">
        <v>1</v>
      </c>
      <c r="EC1" s="17" t="s">
        <v>2</v>
      </c>
      <c r="ED1" s="17" t="s">
        <v>3</v>
      </c>
      <c r="EE1" s="17" t="s">
        <v>4</v>
      </c>
      <c r="EF1" s="17" t="s">
        <v>5</v>
      </c>
      <c r="EG1" s="17" t="s">
        <v>6</v>
      </c>
      <c r="EH1" s="17" t="s">
        <v>0</v>
      </c>
      <c r="EI1" s="17" t="s">
        <v>1</v>
      </c>
      <c r="EJ1" s="17" t="s">
        <v>2</v>
      </c>
      <c r="EK1" s="17" t="s">
        <v>3</v>
      </c>
      <c r="EL1" s="17" t="s">
        <v>4</v>
      </c>
      <c r="EM1" s="17" t="s">
        <v>5</v>
      </c>
      <c r="EN1" s="17" t="s">
        <v>6</v>
      </c>
      <c r="EO1" s="17" t="s">
        <v>0</v>
      </c>
      <c r="EP1" s="17" t="s">
        <v>1</v>
      </c>
      <c r="EQ1" s="17" t="s">
        <v>2</v>
      </c>
      <c r="ER1" s="17" t="s">
        <v>3</v>
      </c>
      <c r="ES1" s="17" t="s">
        <v>4</v>
      </c>
      <c r="ET1" s="17" t="s">
        <v>5</v>
      </c>
      <c r="EU1" s="17" t="s">
        <v>6</v>
      </c>
      <c r="EV1" s="17" t="s">
        <v>0</v>
      </c>
      <c r="EW1" s="17" t="s">
        <v>1</v>
      </c>
      <c r="EX1" s="17" t="s">
        <v>2</v>
      </c>
      <c r="EY1" s="17" t="s">
        <v>3</v>
      </c>
      <c r="EZ1" s="17" t="s">
        <v>4</v>
      </c>
      <c r="FA1" s="17" t="s">
        <v>5</v>
      </c>
      <c r="FB1" s="17" t="s">
        <v>6</v>
      </c>
      <c r="FC1" s="17" t="s">
        <v>0</v>
      </c>
      <c r="FD1" s="17" t="s">
        <v>1</v>
      </c>
      <c r="FE1" s="17" t="s">
        <v>2</v>
      </c>
      <c r="FF1" s="17" t="s">
        <v>3</v>
      </c>
      <c r="FG1" s="17" t="s">
        <v>4</v>
      </c>
      <c r="FH1" s="17" t="s">
        <v>5</v>
      </c>
      <c r="FI1" s="17" t="s">
        <v>6</v>
      </c>
      <c r="FJ1" s="17" t="s">
        <v>0</v>
      </c>
      <c r="FK1" s="17" t="s">
        <v>1</v>
      </c>
      <c r="FL1" s="17" t="s">
        <v>2</v>
      </c>
      <c r="FM1" s="17" t="s">
        <v>3</v>
      </c>
      <c r="FN1" s="17" t="s">
        <v>4</v>
      </c>
      <c r="FO1" s="17" t="s">
        <v>5</v>
      </c>
      <c r="FP1" s="17" t="s">
        <v>6</v>
      </c>
      <c r="FQ1" s="17" t="s">
        <v>0</v>
      </c>
      <c r="FR1" s="17" t="s">
        <v>1</v>
      </c>
      <c r="FS1" s="17" t="s">
        <v>2</v>
      </c>
      <c r="FT1" s="17" t="s">
        <v>3</v>
      </c>
      <c r="FU1" s="17" t="s">
        <v>4</v>
      </c>
      <c r="FV1" s="17" t="s">
        <v>5</v>
      </c>
      <c r="FW1" s="17" t="s">
        <v>6</v>
      </c>
      <c r="FX1" s="17" t="s">
        <v>0</v>
      </c>
      <c r="FY1" s="17" t="s">
        <v>1</v>
      </c>
      <c r="FZ1" s="17" t="s">
        <v>2</v>
      </c>
      <c r="GA1" s="17" t="s">
        <v>3</v>
      </c>
      <c r="GB1" s="17" t="s">
        <v>4</v>
      </c>
      <c r="GC1" s="17" t="s">
        <v>5</v>
      </c>
      <c r="GD1" s="17" t="s">
        <v>6</v>
      </c>
      <c r="GE1" s="17" t="s">
        <v>0</v>
      </c>
      <c r="GF1" s="17" t="s">
        <v>1</v>
      </c>
      <c r="GG1" s="17" t="s">
        <v>2</v>
      </c>
      <c r="GH1" s="17" t="s">
        <v>3</v>
      </c>
      <c r="GI1" s="17" t="s">
        <v>4</v>
      </c>
      <c r="GJ1" s="17" t="s">
        <v>5</v>
      </c>
      <c r="GK1" s="17" t="s">
        <v>6</v>
      </c>
      <c r="GL1" s="17" t="s">
        <v>0</v>
      </c>
      <c r="GM1" s="17" t="s">
        <v>1</v>
      </c>
      <c r="GN1" s="17" t="s">
        <v>2</v>
      </c>
      <c r="GO1" s="17" t="s">
        <v>3</v>
      </c>
      <c r="GP1" s="17" t="s">
        <v>4</v>
      </c>
      <c r="GQ1" s="17" t="s">
        <v>5</v>
      </c>
      <c r="GR1" s="17" t="s">
        <v>6</v>
      </c>
      <c r="GS1" s="17" t="s">
        <v>0</v>
      </c>
      <c r="GT1" s="17" t="s">
        <v>1</v>
      </c>
      <c r="GU1" s="17" t="s">
        <v>2</v>
      </c>
      <c r="GV1" s="17" t="s">
        <v>3</v>
      </c>
      <c r="GW1" s="17" t="s">
        <v>4</v>
      </c>
      <c r="GX1" s="17" t="s">
        <v>5</v>
      </c>
      <c r="GY1" s="17" t="s">
        <v>6</v>
      </c>
      <c r="GZ1" s="17" t="s">
        <v>0</v>
      </c>
      <c r="HA1" s="17" t="s">
        <v>1</v>
      </c>
      <c r="HB1" s="17" t="s">
        <v>2</v>
      </c>
      <c r="HC1" s="17" t="s">
        <v>3</v>
      </c>
      <c r="HD1" s="17" t="s">
        <v>4</v>
      </c>
      <c r="HE1" s="17" t="s">
        <v>5</v>
      </c>
      <c r="HF1" s="17" t="s">
        <v>6</v>
      </c>
      <c r="HG1" s="17" t="s">
        <v>0</v>
      </c>
      <c r="HH1" s="17" t="s">
        <v>1</v>
      </c>
      <c r="HI1" s="17" t="s">
        <v>2</v>
      </c>
      <c r="HJ1" s="17" t="s">
        <v>3</v>
      </c>
      <c r="HK1" s="17" t="s">
        <v>4</v>
      </c>
      <c r="HL1" s="17" t="s">
        <v>5</v>
      </c>
      <c r="HM1" s="17" t="s">
        <v>6</v>
      </c>
      <c r="HN1" s="17" t="s">
        <v>0</v>
      </c>
      <c r="HO1" s="17" t="s">
        <v>1</v>
      </c>
      <c r="HP1" s="17" t="s">
        <v>2</v>
      </c>
      <c r="HQ1" s="17" t="s">
        <v>3</v>
      </c>
      <c r="HR1" s="17" t="s">
        <v>4</v>
      </c>
      <c r="HS1" s="17" t="s">
        <v>5</v>
      </c>
      <c r="HT1" s="17" t="s">
        <v>6</v>
      </c>
      <c r="HU1" s="17" t="s">
        <v>0</v>
      </c>
      <c r="HV1" s="17" t="s">
        <v>1</v>
      </c>
      <c r="HW1" s="17" t="s">
        <v>2</v>
      </c>
      <c r="HX1" s="17" t="s">
        <v>3</v>
      </c>
      <c r="HY1" s="17" t="s">
        <v>4</v>
      </c>
      <c r="HZ1" s="17" t="s">
        <v>5</v>
      </c>
      <c r="IA1" s="17" t="s">
        <v>6</v>
      </c>
      <c r="IB1" s="17" t="s">
        <v>0</v>
      </c>
      <c r="IC1" s="17" t="s">
        <v>1</v>
      </c>
      <c r="ID1" s="17" t="s">
        <v>2</v>
      </c>
      <c r="IE1" s="17" t="s">
        <v>3</v>
      </c>
      <c r="IF1" s="17" t="s">
        <v>4</v>
      </c>
      <c r="IG1" s="17" t="s">
        <v>5</v>
      </c>
      <c r="IH1" s="17" t="s">
        <v>6</v>
      </c>
      <c r="II1" s="17" t="s">
        <v>0</v>
      </c>
      <c r="IJ1" s="17" t="s">
        <v>1</v>
      </c>
      <c r="IK1" s="17" t="s">
        <v>2</v>
      </c>
      <c r="IL1" s="17" t="s">
        <v>3</v>
      </c>
      <c r="IM1" s="17" t="s">
        <v>4</v>
      </c>
      <c r="IN1" s="17" t="s">
        <v>5</v>
      </c>
      <c r="IO1" s="17" t="s">
        <v>6</v>
      </c>
      <c r="IP1" s="17" t="s">
        <v>0</v>
      </c>
      <c r="IQ1" s="17" t="s">
        <v>1</v>
      </c>
      <c r="IR1" s="17" t="s">
        <v>2</v>
      </c>
      <c r="IS1" s="17" t="s">
        <v>3</v>
      </c>
      <c r="IT1" s="17" t="s">
        <v>4</v>
      </c>
      <c r="IU1" s="17" t="s">
        <v>5</v>
      </c>
      <c r="IV1" s="17" t="s">
        <v>6</v>
      </c>
      <c r="IW1" s="17" t="s">
        <v>0</v>
      </c>
      <c r="IX1" s="17" t="s">
        <v>1</v>
      </c>
      <c r="IY1" s="17" t="s">
        <v>2</v>
      </c>
      <c r="IZ1" s="17" t="s">
        <v>3</v>
      </c>
      <c r="JA1" s="17" t="s">
        <v>4</v>
      </c>
      <c r="JB1" s="17" t="s">
        <v>5</v>
      </c>
      <c r="JC1" s="17" t="s">
        <v>6</v>
      </c>
      <c r="JD1" s="17" t="s">
        <v>0</v>
      </c>
      <c r="JE1" s="17" t="s">
        <v>1</v>
      </c>
      <c r="JF1" s="17" t="s">
        <v>2</v>
      </c>
      <c r="JG1" s="17" t="s">
        <v>3</v>
      </c>
      <c r="JH1" s="17" t="s">
        <v>4</v>
      </c>
      <c r="JI1" s="17" t="s">
        <v>5</v>
      </c>
      <c r="JJ1" s="17" t="s">
        <v>6</v>
      </c>
      <c r="JK1" s="17" t="s">
        <v>0</v>
      </c>
      <c r="JL1" s="17" t="s">
        <v>1</v>
      </c>
      <c r="JM1" s="17" t="s">
        <v>2</v>
      </c>
      <c r="JN1" s="17" t="s">
        <v>3</v>
      </c>
      <c r="JO1" s="17" t="s">
        <v>4</v>
      </c>
      <c r="JP1" s="17" t="s">
        <v>5</v>
      </c>
      <c r="JQ1" s="17" t="s">
        <v>6</v>
      </c>
      <c r="JR1" s="17" t="s">
        <v>0</v>
      </c>
      <c r="JS1" s="17" t="s">
        <v>1</v>
      </c>
      <c r="JT1" s="17" t="s">
        <v>2</v>
      </c>
      <c r="JU1" s="17" t="s">
        <v>3</v>
      </c>
      <c r="JV1" s="17" t="s">
        <v>4</v>
      </c>
      <c r="JW1" s="17" t="s">
        <v>5</v>
      </c>
      <c r="JX1" s="17" t="s">
        <v>6</v>
      </c>
      <c r="JY1" s="17" t="s">
        <v>0</v>
      </c>
      <c r="JZ1" s="17" t="s">
        <v>1</v>
      </c>
      <c r="KA1" s="17" t="s">
        <v>2</v>
      </c>
      <c r="KB1" s="17" t="s">
        <v>3</v>
      </c>
      <c r="KC1" s="17" t="s">
        <v>4</v>
      </c>
      <c r="KD1" s="17" t="s">
        <v>5</v>
      </c>
      <c r="KE1" s="17" t="s">
        <v>6</v>
      </c>
      <c r="KF1" s="17" t="s">
        <v>0</v>
      </c>
      <c r="KG1" s="17" t="s">
        <v>1</v>
      </c>
      <c r="KH1" s="17" t="s">
        <v>2</v>
      </c>
      <c r="KI1" s="17" t="s">
        <v>3</v>
      </c>
      <c r="KJ1" s="17" t="s">
        <v>4</v>
      </c>
      <c r="KK1" s="17" t="s">
        <v>5</v>
      </c>
      <c r="KL1" s="17" t="s">
        <v>6</v>
      </c>
      <c r="KM1" s="17" t="s">
        <v>0</v>
      </c>
      <c r="KN1" s="17" t="s">
        <v>1</v>
      </c>
      <c r="KO1" s="17" t="s">
        <v>2</v>
      </c>
      <c r="KP1" s="17" t="s">
        <v>3</v>
      </c>
      <c r="KQ1" s="17" t="s">
        <v>4</v>
      </c>
      <c r="KR1" s="17" t="s">
        <v>5</v>
      </c>
      <c r="KS1" s="17" t="s">
        <v>6</v>
      </c>
      <c r="KT1" s="17" t="s">
        <v>0</v>
      </c>
      <c r="KU1" s="17" t="s">
        <v>1</v>
      </c>
      <c r="KV1" s="17" t="s">
        <v>2</v>
      </c>
      <c r="KW1" s="17" t="s">
        <v>3</v>
      </c>
      <c r="KX1" s="17" t="s">
        <v>4</v>
      </c>
      <c r="KY1" s="17" t="s">
        <v>5</v>
      </c>
      <c r="KZ1" s="17" t="s">
        <v>6</v>
      </c>
      <c r="LA1" s="17" t="s">
        <v>0</v>
      </c>
      <c r="LB1" s="17" t="s">
        <v>1</v>
      </c>
      <c r="LC1" s="17" t="s">
        <v>2</v>
      </c>
      <c r="LD1" s="17" t="s">
        <v>3</v>
      </c>
      <c r="LE1" s="17" t="s">
        <v>4</v>
      </c>
      <c r="LF1" s="17" t="s">
        <v>5</v>
      </c>
      <c r="LG1" s="17" t="s">
        <v>6</v>
      </c>
      <c r="LH1" s="17" t="s">
        <v>0</v>
      </c>
      <c r="LI1" s="17" t="s">
        <v>1</v>
      </c>
      <c r="LJ1" s="17" t="s">
        <v>2</v>
      </c>
      <c r="LK1" s="17" t="s">
        <v>3</v>
      </c>
      <c r="LL1" s="17" t="s">
        <v>4</v>
      </c>
      <c r="LM1" s="17" t="s">
        <v>5</v>
      </c>
      <c r="LN1" s="17" t="s">
        <v>6</v>
      </c>
      <c r="LO1" s="17" t="s">
        <v>0</v>
      </c>
      <c r="LP1" s="17" t="s">
        <v>1</v>
      </c>
      <c r="LQ1" s="17" t="s">
        <v>2</v>
      </c>
      <c r="LR1" s="17" t="s">
        <v>3</v>
      </c>
      <c r="LS1" s="17" t="s">
        <v>4</v>
      </c>
      <c r="LT1" s="17" t="s">
        <v>5</v>
      </c>
      <c r="LU1" s="17" t="s">
        <v>6</v>
      </c>
      <c r="LV1" s="17" t="s">
        <v>0</v>
      </c>
      <c r="LW1" s="17" t="s">
        <v>1</v>
      </c>
      <c r="LX1" s="17" t="s">
        <v>2</v>
      </c>
      <c r="LY1" s="17" t="s">
        <v>3</v>
      </c>
      <c r="LZ1" s="17" t="s">
        <v>4</v>
      </c>
      <c r="MA1" s="17" t="s">
        <v>5</v>
      </c>
      <c r="MB1" s="17" t="s">
        <v>6</v>
      </c>
      <c r="MC1" s="17" t="s">
        <v>0</v>
      </c>
      <c r="MD1" s="17" t="s">
        <v>1</v>
      </c>
      <c r="ME1" s="17" t="s">
        <v>2</v>
      </c>
      <c r="MF1" s="17" t="s">
        <v>3</v>
      </c>
      <c r="MG1" s="17" t="s">
        <v>4</v>
      </c>
      <c r="MH1" s="17" t="s">
        <v>5</v>
      </c>
      <c r="MI1" s="17" t="s">
        <v>6</v>
      </c>
      <c r="MJ1" s="17" t="s">
        <v>0</v>
      </c>
      <c r="MK1" s="17" t="s">
        <v>1</v>
      </c>
      <c r="ML1" s="17" t="s">
        <v>2</v>
      </c>
      <c r="MM1" s="17" t="s">
        <v>3</v>
      </c>
      <c r="MN1" s="17" t="s">
        <v>4</v>
      </c>
      <c r="MO1" s="17" t="s">
        <v>5</v>
      </c>
      <c r="MP1" s="17" t="s">
        <v>6</v>
      </c>
      <c r="MQ1" s="17" t="s">
        <v>0</v>
      </c>
      <c r="MR1" s="17" t="s">
        <v>1</v>
      </c>
      <c r="MS1" s="17" t="s">
        <v>2</v>
      </c>
      <c r="MT1" s="17" t="s">
        <v>3</v>
      </c>
      <c r="MU1" s="17" t="s">
        <v>4</v>
      </c>
      <c r="MV1" s="17" t="s">
        <v>5</v>
      </c>
      <c r="MW1" s="17" t="s">
        <v>6</v>
      </c>
      <c r="MX1" s="17" t="s">
        <v>0</v>
      </c>
      <c r="MY1" s="17" t="s">
        <v>1</v>
      </c>
      <c r="MZ1" s="17" t="s">
        <v>2</v>
      </c>
      <c r="NA1" s="17" t="s">
        <v>3</v>
      </c>
      <c r="NB1" s="17" t="s">
        <v>4</v>
      </c>
      <c r="NC1" s="17" t="s">
        <v>5</v>
      </c>
      <c r="ND1" s="17" t="s">
        <v>6</v>
      </c>
      <c r="NE1" s="17" t="s">
        <v>0</v>
      </c>
      <c r="NF1" s="17" t="s">
        <v>1</v>
      </c>
    </row>
    <row r="2" spans="1:374" s="5" customFormat="1" ht="24.75" customHeight="1" thickBot="1" x14ac:dyDescent="0.3">
      <c r="B2" s="163"/>
      <c r="C2" s="18">
        <v>44562</v>
      </c>
      <c r="D2" s="18">
        <v>44563</v>
      </c>
      <c r="E2" s="18">
        <v>44564</v>
      </c>
      <c r="F2" s="18">
        <v>44565</v>
      </c>
      <c r="G2" s="18">
        <v>44566</v>
      </c>
      <c r="H2" s="18">
        <v>44567</v>
      </c>
      <c r="I2" s="18">
        <v>44568</v>
      </c>
      <c r="J2" s="18">
        <v>44569</v>
      </c>
      <c r="K2" s="18">
        <v>44570</v>
      </c>
      <c r="L2" s="18">
        <v>44571</v>
      </c>
      <c r="M2" s="18">
        <v>44572</v>
      </c>
      <c r="N2" s="18">
        <v>44573</v>
      </c>
      <c r="O2" s="18">
        <v>44574</v>
      </c>
      <c r="P2" s="18">
        <v>44575</v>
      </c>
      <c r="Q2" s="18">
        <v>44576</v>
      </c>
      <c r="R2" s="18">
        <v>44577</v>
      </c>
      <c r="S2" s="18">
        <v>44578</v>
      </c>
      <c r="T2" s="18">
        <v>44579</v>
      </c>
      <c r="U2" s="18">
        <v>44580</v>
      </c>
      <c r="V2" s="18">
        <v>44581</v>
      </c>
      <c r="W2" s="18">
        <v>44582</v>
      </c>
      <c r="X2" s="18">
        <v>44583</v>
      </c>
      <c r="Y2" s="18">
        <v>44584</v>
      </c>
      <c r="Z2" s="18">
        <v>44585</v>
      </c>
      <c r="AA2" s="18">
        <v>44586</v>
      </c>
      <c r="AB2" s="18">
        <v>44587</v>
      </c>
      <c r="AC2" s="18">
        <v>44588</v>
      </c>
      <c r="AD2" s="18">
        <v>44589</v>
      </c>
      <c r="AE2" s="18">
        <v>44590</v>
      </c>
      <c r="AF2" s="18">
        <v>44591</v>
      </c>
      <c r="AG2" s="18">
        <v>44592</v>
      </c>
      <c r="AH2" s="18">
        <v>44593</v>
      </c>
      <c r="AI2" s="18">
        <v>44594</v>
      </c>
      <c r="AJ2" s="18">
        <v>44595</v>
      </c>
      <c r="AK2" s="18">
        <v>44596</v>
      </c>
      <c r="AL2" s="18">
        <v>44597</v>
      </c>
      <c r="AM2" s="18">
        <v>44598</v>
      </c>
      <c r="AN2" s="18">
        <v>44599</v>
      </c>
      <c r="AO2" s="18">
        <v>44600</v>
      </c>
      <c r="AP2" s="18">
        <v>44601</v>
      </c>
      <c r="AQ2" s="18">
        <v>44602</v>
      </c>
      <c r="AR2" s="18">
        <v>44603</v>
      </c>
      <c r="AS2" s="18">
        <v>44604</v>
      </c>
      <c r="AT2" s="18">
        <v>44605</v>
      </c>
      <c r="AU2" s="18">
        <v>44606</v>
      </c>
      <c r="AV2" s="18">
        <v>44607</v>
      </c>
      <c r="AW2" s="18">
        <v>44608</v>
      </c>
      <c r="AX2" s="18">
        <v>44609</v>
      </c>
      <c r="AY2" s="18">
        <v>44610</v>
      </c>
      <c r="AZ2" s="18">
        <v>44611</v>
      </c>
      <c r="BA2" s="18">
        <v>44612</v>
      </c>
      <c r="BB2" s="18">
        <v>44613</v>
      </c>
      <c r="BC2" s="18">
        <v>44614</v>
      </c>
      <c r="BD2" s="18">
        <v>44615</v>
      </c>
      <c r="BE2" s="18">
        <v>44616</v>
      </c>
      <c r="BF2" s="18">
        <v>44617</v>
      </c>
      <c r="BG2" s="18">
        <v>44618</v>
      </c>
      <c r="BH2" s="18">
        <v>44619</v>
      </c>
      <c r="BI2" s="18">
        <v>44620</v>
      </c>
      <c r="BJ2" s="18">
        <v>44621</v>
      </c>
      <c r="BK2" s="18">
        <v>44622</v>
      </c>
      <c r="BL2" s="18">
        <v>44623</v>
      </c>
      <c r="BM2" s="18">
        <v>44624</v>
      </c>
      <c r="BN2" s="18">
        <v>44625</v>
      </c>
      <c r="BO2" s="18">
        <v>44626</v>
      </c>
      <c r="BP2" s="18">
        <v>44627</v>
      </c>
      <c r="BQ2" s="18">
        <v>44628</v>
      </c>
      <c r="BR2" s="18">
        <v>44629</v>
      </c>
      <c r="BS2" s="18">
        <v>44630</v>
      </c>
      <c r="BT2" s="18">
        <v>44631</v>
      </c>
      <c r="BU2" s="18">
        <v>44632</v>
      </c>
      <c r="BV2" s="18">
        <v>44633</v>
      </c>
      <c r="BW2" s="18">
        <v>44634</v>
      </c>
      <c r="BX2" s="18">
        <v>44635</v>
      </c>
      <c r="BY2" s="18">
        <v>44636</v>
      </c>
      <c r="BZ2" s="18">
        <v>44637</v>
      </c>
      <c r="CA2" s="18">
        <v>44638</v>
      </c>
      <c r="CB2" s="18">
        <v>44639</v>
      </c>
      <c r="CC2" s="18">
        <v>44640</v>
      </c>
      <c r="CD2" s="18">
        <v>44641</v>
      </c>
      <c r="CE2" s="18">
        <v>44642</v>
      </c>
      <c r="CF2" s="18">
        <v>44643</v>
      </c>
      <c r="CG2" s="18">
        <v>44644</v>
      </c>
      <c r="CH2" s="18">
        <v>44645</v>
      </c>
      <c r="CI2" s="18">
        <v>44646</v>
      </c>
      <c r="CJ2" s="18">
        <v>44647</v>
      </c>
      <c r="CK2" s="18">
        <v>44648</v>
      </c>
      <c r="CL2" s="18">
        <v>44649</v>
      </c>
      <c r="CM2" s="18">
        <v>44650</v>
      </c>
      <c r="CN2" s="18">
        <v>44651</v>
      </c>
      <c r="CO2" s="18">
        <v>44652</v>
      </c>
      <c r="CP2" s="18">
        <v>44653</v>
      </c>
      <c r="CQ2" s="18">
        <v>44654</v>
      </c>
      <c r="CR2" s="18">
        <v>44655</v>
      </c>
      <c r="CS2" s="18">
        <v>44656</v>
      </c>
      <c r="CT2" s="18">
        <v>44657</v>
      </c>
      <c r="CU2" s="18">
        <v>44658</v>
      </c>
      <c r="CV2" s="18">
        <v>44659</v>
      </c>
      <c r="CW2" s="18">
        <v>44660</v>
      </c>
      <c r="CX2" s="18">
        <v>44661</v>
      </c>
      <c r="CY2" s="18">
        <v>44662</v>
      </c>
      <c r="CZ2" s="18">
        <v>44663</v>
      </c>
      <c r="DA2" s="18">
        <v>44664</v>
      </c>
      <c r="DB2" s="18">
        <v>44665</v>
      </c>
      <c r="DC2" s="18">
        <v>44666</v>
      </c>
      <c r="DD2" s="18">
        <v>44667</v>
      </c>
      <c r="DE2" s="18">
        <v>44668</v>
      </c>
      <c r="DF2" s="18">
        <v>44669</v>
      </c>
      <c r="DG2" s="18">
        <v>44670</v>
      </c>
      <c r="DH2" s="18">
        <v>44671</v>
      </c>
      <c r="DI2" s="18">
        <v>44672</v>
      </c>
      <c r="DJ2" s="18">
        <v>44673</v>
      </c>
      <c r="DK2" s="18">
        <v>44674</v>
      </c>
      <c r="DL2" s="18">
        <v>44675</v>
      </c>
      <c r="DM2" s="18">
        <v>44676</v>
      </c>
      <c r="DN2" s="18">
        <v>44677</v>
      </c>
      <c r="DO2" s="18">
        <v>44678</v>
      </c>
      <c r="DP2" s="18">
        <v>44679</v>
      </c>
      <c r="DQ2" s="18">
        <v>44680</v>
      </c>
      <c r="DR2" s="18">
        <v>44681</v>
      </c>
      <c r="DS2" s="18">
        <v>44682</v>
      </c>
      <c r="DT2" s="18">
        <v>44683</v>
      </c>
      <c r="DU2" s="18">
        <v>44684</v>
      </c>
      <c r="DV2" s="18">
        <v>44685</v>
      </c>
      <c r="DW2" s="18">
        <v>44686</v>
      </c>
      <c r="DX2" s="18">
        <v>44687</v>
      </c>
      <c r="DY2" s="18">
        <v>44688</v>
      </c>
      <c r="DZ2" s="18">
        <v>44689</v>
      </c>
      <c r="EA2" s="18">
        <v>44690</v>
      </c>
      <c r="EB2" s="18">
        <v>44691</v>
      </c>
      <c r="EC2" s="18">
        <v>44692</v>
      </c>
      <c r="ED2" s="18">
        <v>44693</v>
      </c>
      <c r="EE2" s="18">
        <v>44694</v>
      </c>
      <c r="EF2" s="18">
        <v>44695</v>
      </c>
      <c r="EG2" s="18">
        <v>44696</v>
      </c>
      <c r="EH2" s="18">
        <v>44697</v>
      </c>
      <c r="EI2" s="18">
        <v>44698</v>
      </c>
      <c r="EJ2" s="18">
        <v>44699</v>
      </c>
      <c r="EK2" s="18">
        <v>44700</v>
      </c>
      <c r="EL2" s="18">
        <v>44701</v>
      </c>
      <c r="EM2" s="18">
        <v>44702</v>
      </c>
      <c r="EN2" s="18">
        <v>44703</v>
      </c>
      <c r="EO2" s="18">
        <v>44704</v>
      </c>
      <c r="EP2" s="18">
        <v>44705</v>
      </c>
      <c r="EQ2" s="18">
        <v>44706</v>
      </c>
      <c r="ER2" s="18">
        <v>44707</v>
      </c>
      <c r="ES2" s="18">
        <v>44708</v>
      </c>
      <c r="ET2" s="18">
        <v>44709</v>
      </c>
      <c r="EU2" s="18">
        <v>44710</v>
      </c>
      <c r="EV2" s="18">
        <v>44711</v>
      </c>
      <c r="EW2" s="18">
        <v>44712</v>
      </c>
      <c r="EX2" s="18">
        <v>44713</v>
      </c>
      <c r="EY2" s="18">
        <v>44714</v>
      </c>
      <c r="EZ2" s="18">
        <v>44715</v>
      </c>
      <c r="FA2" s="18">
        <v>44716</v>
      </c>
      <c r="FB2" s="18">
        <v>44717</v>
      </c>
      <c r="FC2" s="18">
        <v>44718</v>
      </c>
      <c r="FD2" s="18">
        <v>44719</v>
      </c>
      <c r="FE2" s="18">
        <v>44720</v>
      </c>
      <c r="FF2" s="18">
        <v>44721</v>
      </c>
      <c r="FG2" s="18">
        <v>44722</v>
      </c>
      <c r="FH2" s="18">
        <v>44723</v>
      </c>
      <c r="FI2" s="18">
        <v>44724</v>
      </c>
      <c r="FJ2" s="18">
        <v>44725</v>
      </c>
      <c r="FK2" s="18">
        <v>44726</v>
      </c>
      <c r="FL2" s="18">
        <v>44727</v>
      </c>
      <c r="FM2" s="18">
        <v>44728</v>
      </c>
      <c r="FN2" s="18">
        <v>44729</v>
      </c>
      <c r="FO2" s="18">
        <v>44730</v>
      </c>
      <c r="FP2" s="18">
        <v>44731</v>
      </c>
      <c r="FQ2" s="18">
        <v>44732</v>
      </c>
      <c r="FR2" s="18">
        <v>44733</v>
      </c>
      <c r="FS2" s="18">
        <v>44734</v>
      </c>
      <c r="FT2" s="18">
        <v>44735</v>
      </c>
      <c r="FU2" s="18">
        <v>44736</v>
      </c>
      <c r="FV2" s="18">
        <v>44737</v>
      </c>
      <c r="FW2" s="18">
        <v>44738</v>
      </c>
      <c r="FX2" s="18">
        <v>44739</v>
      </c>
      <c r="FY2" s="18">
        <v>44740</v>
      </c>
      <c r="FZ2" s="18">
        <v>44741</v>
      </c>
      <c r="GA2" s="18">
        <v>44742</v>
      </c>
      <c r="GB2" s="18">
        <v>44743</v>
      </c>
      <c r="GC2" s="18">
        <v>44744</v>
      </c>
      <c r="GD2" s="18">
        <v>44745</v>
      </c>
      <c r="GE2" s="18">
        <v>44746</v>
      </c>
      <c r="GF2" s="18">
        <v>44747</v>
      </c>
      <c r="GG2" s="18">
        <v>44748</v>
      </c>
      <c r="GH2" s="18">
        <v>44749</v>
      </c>
      <c r="GI2" s="18">
        <v>44750</v>
      </c>
      <c r="GJ2" s="18">
        <v>44751</v>
      </c>
      <c r="GK2" s="18">
        <v>44752</v>
      </c>
      <c r="GL2" s="18">
        <v>44753</v>
      </c>
      <c r="GM2" s="18">
        <v>44754</v>
      </c>
      <c r="GN2" s="18">
        <v>44755</v>
      </c>
      <c r="GO2" s="18">
        <v>44756</v>
      </c>
      <c r="GP2" s="18">
        <v>44757</v>
      </c>
      <c r="GQ2" s="18">
        <v>44758</v>
      </c>
      <c r="GR2" s="18">
        <v>44759</v>
      </c>
      <c r="GS2" s="18">
        <v>44760</v>
      </c>
      <c r="GT2" s="18">
        <v>44761</v>
      </c>
      <c r="GU2" s="18">
        <v>44762</v>
      </c>
      <c r="GV2" s="18">
        <v>44763</v>
      </c>
      <c r="GW2" s="18">
        <v>44764</v>
      </c>
      <c r="GX2" s="18">
        <v>44765</v>
      </c>
      <c r="GY2" s="18">
        <v>44766</v>
      </c>
      <c r="GZ2" s="18">
        <v>44767</v>
      </c>
      <c r="HA2" s="18">
        <v>44768</v>
      </c>
      <c r="HB2" s="18">
        <v>44769</v>
      </c>
      <c r="HC2" s="18">
        <v>44770</v>
      </c>
      <c r="HD2" s="18">
        <v>44771</v>
      </c>
      <c r="HE2" s="18">
        <v>44772</v>
      </c>
      <c r="HF2" s="18">
        <v>44773</v>
      </c>
      <c r="HG2" s="18">
        <v>44774</v>
      </c>
      <c r="HH2" s="18">
        <v>44775</v>
      </c>
      <c r="HI2" s="18">
        <v>44776</v>
      </c>
      <c r="HJ2" s="18">
        <v>44777</v>
      </c>
      <c r="HK2" s="18">
        <v>44778</v>
      </c>
      <c r="HL2" s="18">
        <v>44779</v>
      </c>
      <c r="HM2" s="18">
        <v>44780</v>
      </c>
      <c r="HN2" s="18">
        <v>44781</v>
      </c>
      <c r="HO2" s="18">
        <v>44782</v>
      </c>
      <c r="HP2" s="18">
        <v>44783</v>
      </c>
      <c r="HQ2" s="18">
        <v>44784</v>
      </c>
      <c r="HR2" s="18">
        <v>44785</v>
      </c>
      <c r="HS2" s="18">
        <v>44786</v>
      </c>
      <c r="HT2" s="18">
        <v>44787</v>
      </c>
      <c r="HU2" s="18">
        <v>44788</v>
      </c>
      <c r="HV2" s="18">
        <v>44789</v>
      </c>
      <c r="HW2" s="18">
        <v>44790</v>
      </c>
      <c r="HX2" s="18">
        <v>44791</v>
      </c>
      <c r="HY2" s="18">
        <v>44792</v>
      </c>
      <c r="HZ2" s="18">
        <v>44793</v>
      </c>
      <c r="IA2" s="18">
        <v>44794</v>
      </c>
      <c r="IB2" s="18">
        <v>44795</v>
      </c>
      <c r="IC2" s="18">
        <v>44796</v>
      </c>
      <c r="ID2" s="18">
        <v>44797</v>
      </c>
      <c r="IE2" s="18">
        <v>44798</v>
      </c>
      <c r="IF2" s="18">
        <v>44799</v>
      </c>
      <c r="IG2" s="18">
        <v>44800</v>
      </c>
      <c r="IH2" s="18">
        <v>44801</v>
      </c>
      <c r="II2" s="18">
        <v>44802</v>
      </c>
      <c r="IJ2" s="18">
        <v>44803</v>
      </c>
      <c r="IK2" s="18">
        <v>44804</v>
      </c>
      <c r="IL2" s="18">
        <v>44805</v>
      </c>
      <c r="IM2" s="18">
        <v>44806</v>
      </c>
      <c r="IN2" s="18">
        <v>44807</v>
      </c>
      <c r="IO2" s="18">
        <v>44808</v>
      </c>
      <c r="IP2" s="18">
        <v>44809</v>
      </c>
      <c r="IQ2" s="18">
        <v>44810</v>
      </c>
      <c r="IR2" s="18">
        <v>44811</v>
      </c>
      <c r="IS2" s="18">
        <v>44812</v>
      </c>
      <c r="IT2" s="18">
        <v>44813</v>
      </c>
      <c r="IU2" s="18">
        <v>44814</v>
      </c>
      <c r="IV2" s="18">
        <v>44815</v>
      </c>
      <c r="IW2" s="18">
        <v>44816</v>
      </c>
      <c r="IX2" s="18">
        <v>44817</v>
      </c>
      <c r="IY2" s="18">
        <v>44818</v>
      </c>
      <c r="IZ2" s="18">
        <v>44819</v>
      </c>
      <c r="JA2" s="18">
        <v>44820</v>
      </c>
      <c r="JB2" s="18">
        <v>44821</v>
      </c>
      <c r="JC2" s="18">
        <v>44822</v>
      </c>
      <c r="JD2" s="18">
        <v>44823</v>
      </c>
      <c r="JE2" s="18">
        <v>44824</v>
      </c>
      <c r="JF2" s="18">
        <v>44825</v>
      </c>
      <c r="JG2" s="18">
        <v>44826</v>
      </c>
      <c r="JH2" s="18">
        <v>44827</v>
      </c>
      <c r="JI2" s="18">
        <v>44828</v>
      </c>
      <c r="JJ2" s="18">
        <v>44829</v>
      </c>
      <c r="JK2" s="18">
        <v>44830</v>
      </c>
      <c r="JL2" s="18">
        <v>44831</v>
      </c>
      <c r="JM2" s="18">
        <v>44832</v>
      </c>
      <c r="JN2" s="18">
        <v>44833</v>
      </c>
      <c r="JO2" s="18">
        <v>44834</v>
      </c>
      <c r="JP2" s="18">
        <v>44835</v>
      </c>
      <c r="JQ2" s="18">
        <v>44836</v>
      </c>
      <c r="JR2" s="18">
        <v>44837</v>
      </c>
      <c r="JS2" s="18">
        <v>44838</v>
      </c>
      <c r="JT2" s="18">
        <v>44839</v>
      </c>
      <c r="JU2" s="18">
        <v>44840</v>
      </c>
      <c r="JV2" s="18">
        <v>44841</v>
      </c>
      <c r="JW2" s="18">
        <v>44842</v>
      </c>
      <c r="JX2" s="18">
        <v>44843</v>
      </c>
      <c r="JY2" s="18">
        <v>44844</v>
      </c>
      <c r="JZ2" s="18">
        <v>44845</v>
      </c>
      <c r="KA2" s="18">
        <v>44846</v>
      </c>
      <c r="KB2" s="18">
        <v>44847</v>
      </c>
      <c r="KC2" s="18">
        <v>44848</v>
      </c>
      <c r="KD2" s="18">
        <v>44849</v>
      </c>
      <c r="KE2" s="18">
        <v>44850</v>
      </c>
      <c r="KF2" s="18">
        <v>44851</v>
      </c>
      <c r="KG2" s="18">
        <v>44852</v>
      </c>
      <c r="KH2" s="18">
        <v>44853</v>
      </c>
      <c r="KI2" s="18">
        <v>44854</v>
      </c>
      <c r="KJ2" s="18">
        <v>44855</v>
      </c>
      <c r="KK2" s="18">
        <v>44856</v>
      </c>
      <c r="KL2" s="18">
        <v>44857</v>
      </c>
      <c r="KM2" s="18">
        <v>44858</v>
      </c>
      <c r="KN2" s="18">
        <v>44859</v>
      </c>
      <c r="KO2" s="18">
        <v>44860</v>
      </c>
      <c r="KP2" s="18">
        <v>44861</v>
      </c>
      <c r="KQ2" s="18">
        <v>44862</v>
      </c>
      <c r="KR2" s="18">
        <v>44863</v>
      </c>
      <c r="KS2" s="18">
        <v>44864</v>
      </c>
      <c r="KT2" s="18">
        <v>44865</v>
      </c>
      <c r="KU2" s="18">
        <v>44866</v>
      </c>
      <c r="KV2" s="18">
        <v>44867</v>
      </c>
      <c r="KW2" s="18">
        <v>44868</v>
      </c>
      <c r="KX2" s="18">
        <v>44869</v>
      </c>
      <c r="KY2" s="18">
        <v>44870</v>
      </c>
      <c r="KZ2" s="18">
        <v>44871</v>
      </c>
      <c r="LA2" s="18">
        <v>44872</v>
      </c>
      <c r="LB2" s="18">
        <v>44873</v>
      </c>
      <c r="LC2" s="18">
        <v>44874</v>
      </c>
      <c r="LD2" s="18">
        <v>44875</v>
      </c>
      <c r="LE2" s="18">
        <v>44876</v>
      </c>
      <c r="LF2" s="18">
        <v>44877</v>
      </c>
      <c r="LG2" s="18">
        <v>44878</v>
      </c>
      <c r="LH2" s="18">
        <v>44879</v>
      </c>
      <c r="LI2" s="18">
        <v>44880</v>
      </c>
      <c r="LJ2" s="18">
        <v>44881</v>
      </c>
      <c r="LK2" s="18">
        <v>44882</v>
      </c>
      <c r="LL2" s="18">
        <v>44883</v>
      </c>
      <c r="LM2" s="18">
        <v>44884</v>
      </c>
      <c r="LN2" s="18">
        <v>44885</v>
      </c>
      <c r="LO2" s="18">
        <v>44886</v>
      </c>
      <c r="LP2" s="18">
        <v>44887</v>
      </c>
      <c r="LQ2" s="18">
        <v>44888</v>
      </c>
      <c r="LR2" s="18">
        <v>44889</v>
      </c>
      <c r="LS2" s="18">
        <v>44890</v>
      </c>
      <c r="LT2" s="18">
        <v>44891</v>
      </c>
      <c r="LU2" s="18">
        <v>44892</v>
      </c>
      <c r="LV2" s="18">
        <v>44893</v>
      </c>
      <c r="LW2" s="18">
        <v>44894</v>
      </c>
      <c r="LX2" s="18">
        <v>44895</v>
      </c>
      <c r="LY2" s="18">
        <v>44896</v>
      </c>
      <c r="LZ2" s="18">
        <v>44897</v>
      </c>
      <c r="MA2" s="18">
        <v>44898</v>
      </c>
      <c r="MB2" s="18">
        <v>44899</v>
      </c>
      <c r="MC2" s="18">
        <v>44900</v>
      </c>
      <c r="MD2" s="18">
        <v>44901</v>
      </c>
      <c r="ME2" s="18">
        <v>44902</v>
      </c>
      <c r="MF2" s="18">
        <v>44903</v>
      </c>
      <c r="MG2" s="18">
        <v>44904</v>
      </c>
      <c r="MH2" s="18">
        <v>44905</v>
      </c>
      <c r="MI2" s="18">
        <v>44906</v>
      </c>
      <c r="MJ2" s="18">
        <v>44907</v>
      </c>
      <c r="MK2" s="18">
        <v>44908</v>
      </c>
      <c r="ML2" s="18">
        <v>44909</v>
      </c>
      <c r="MM2" s="18">
        <v>44910</v>
      </c>
      <c r="MN2" s="18">
        <v>44911</v>
      </c>
      <c r="MO2" s="18">
        <v>44912</v>
      </c>
      <c r="MP2" s="18">
        <v>44913</v>
      </c>
      <c r="MQ2" s="18">
        <v>44914</v>
      </c>
      <c r="MR2" s="18">
        <v>44915</v>
      </c>
      <c r="MS2" s="18">
        <v>44916</v>
      </c>
      <c r="MT2" s="18">
        <v>44917</v>
      </c>
      <c r="MU2" s="18">
        <v>44918</v>
      </c>
      <c r="MV2" s="18">
        <v>44919</v>
      </c>
      <c r="MW2" s="18">
        <v>44920</v>
      </c>
      <c r="MX2" s="18">
        <v>44921</v>
      </c>
      <c r="MY2" s="18">
        <v>44922</v>
      </c>
      <c r="MZ2" s="18">
        <v>44923</v>
      </c>
      <c r="NA2" s="18">
        <v>44924</v>
      </c>
      <c r="NB2" s="18">
        <v>44925</v>
      </c>
      <c r="NC2" s="18">
        <v>44926</v>
      </c>
      <c r="ND2" s="18">
        <v>44927</v>
      </c>
      <c r="NE2" s="19">
        <v>44928</v>
      </c>
      <c r="NF2" s="18">
        <v>44929</v>
      </c>
    </row>
    <row r="3" spans="1:374" s="8" customFormat="1" ht="16.5" thickBot="1" x14ac:dyDescent="0.3">
      <c r="A3" s="6"/>
      <c r="B3" s="7" t="s">
        <v>7</v>
      </c>
      <c r="C3" s="9" t="s">
        <v>7</v>
      </c>
      <c r="D3" s="9" t="s">
        <v>7</v>
      </c>
      <c r="E3" s="9" t="s">
        <v>7</v>
      </c>
      <c r="F3" s="9" t="s">
        <v>7</v>
      </c>
      <c r="G3" s="9" t="s">
        <v>7</v>
      </c>
      <c r="H3" s="9" t="s">
        <v>7</v>
      </c>
      <c r="I3" s="9" t="s">
        <v>7</v>
      </c>
      <c r="J3" s="9" t="s">
        <v>7</v>
      </c>
      <c r="K3" s="9" t="s">
        <v>7</v>
      </c>
      <c r="L3" s="9" t="s">
        <v>7</v>
      </c>
      <c r="M3" s="9" t="s">
        <v>7</v>
      </c>
      <c r="N3" s="9" t="s">
        <v>7</v>
      </c>
      <c r="O3" s="9" t="s">
        <v>7</v>
      </c>
      <c r="P3" s="9" t="s">
        <v>7</v>
      </c>
      <c r="Q3" s="9" t="s">
        <v>7</v>
      </c>
      <c r="R3" s="9" t="s">
        <v>7</v>
      </c>
      <c r="S3" s="9" t="s">
        <v>7</v>
      </c>
      <c r="T3" s="9" t="s">
        <v>7</v>
      </c>
      <c r="U3" s="9" t="s">
        <v>7</v>
      </c>
      <c r="V3" s="9" t="s">
        <v>7</v>
      </c>
      <c r="W3" s="9" t="s">
        <v>7</v>
      </c>
      <c r="X3" s="9" t="s">
        <v>7</v>
      </c>
      <c r="Y3" s="9" t="s">
        <v>7</v>
      </c>
      <c r="Z3" s="9" t="s">
        <v>7</v>
      </c>
      <c r="AA3" s="9" t="s">
        <v>7</v>
      </c>
      <c r="AB3" s="9" t="s">
        <v>7</v>
      </c>
      <c r="AC3" s="9" t="s">
        <v>7</v>
      </c>
      <c r="AD3" s="9" t="s">
        <v>7</v>
      </c>
      <c r="AE3" s="9" t="s">
        <v>7</v>
      </c>
      <c r="AF3" s="9" t="s">
        <v>7</v>
      </c>
      <c r="AG3" s="9" t="s">
        <v>7</v>
      </c>
      <c r="AH3" s="9" t="s">
        <v>7</v>
      </c>
      <c r="AI3" s="9" t="s">
        <v>7</v>
      </c>
      <c r="AJ3" s="9" t="s">
        <v>7</v>
      </c>
      <c r="AK3" s="9" t="s">
        <v>7</v>
      </c>
      <c r="AL3" s="9" t="s">
        <v>7</v>
      </c>
      <c r="AM3" s="9" t="s">
        <v>7</v>
      </c>
      <c r="AN3" s="9" t="s">
        <v>7</v>
      </c>
      <c r="AO3" s="9" t="s">
        <v>7</v>
      </c>
      <c r="AP3" s="9" t="s">
        <v>7</v>
      </c>
      <c r="AQ3" s="9" t="s">
        <v>7</v>
      </c>
      <c r="AR3" s="9" t="s">
        <v>7</v>
      </c>
      <c r="AS3" s="9" t="s">
        <v>7</v>
      </c>
      <c r="AT3" s="9" t="s">
        <v>7</v>
      </c>
      <c r="AU3" s="9" t="s">
        <v>7</v>
      </c>
      <c r="AV3" s="9" t="s">
        <v>7</v>
      </c>
      <c r="AW3" s="9" t="s">
        <v>7</v>
      </c>
      <c r="AX3" s="9" t="s">
        <v>7</v>
      </c>
      <c r="AY3" s="9" t="s">
        <v>7</v>
      </c>
      <c r="AZ3" s="9" t="s">
        <v>7</v>
      </c>
      <c r="BA3" s="9" t="s">
        <v>7</v>
      </c>
      <c r="BB3" s="9" t="s">
        <v>7</v>
      </c>
      <c r="BC3" s="9" t="s">
        <v>7</v>
      </c>
      <c r="BD3" s="9" t="s">
        <v>7</v>
      </c>
      <c r="BE3" s="9" t="s">
        <v>7</v>
      </c>
      <c r="BF3" s="9" t="s">
        <v>7</v>
      </c>
      <c r="BG3" s="9" t="s">
        <v>7</v>
      </c>
      <c r="BH3" s="9" t="s">
        <v>7</v>
      </c>
      <c r="BI3" s="9" t="s">
        <v>7</v>
      </c>
      <c r="BJ3" s="9" t="s">
        <v>7</v>
      </c>
      <c r="BK3" s="9" t="s">
        <v>7</v>
      </c>
      <c r="BL3" s="9" t="s">
        <v>7</v>
      </c>
      <c r="BM3" s="9" t="s">
        <v>7</v>
      </c>
      <c r="BN3" s="9" t="s">
        <v>7</v>
      </c>
      <c r="BO3" s="9" t="s">
        <v>7</v>
      </c>
      <c r="BP3" s="9" t="s">
        <v>7</v>
      </c>
      <c r="BQ3" s="9" t="s">
        <v>7</v>
      </c>
      <c r="BR3" s="9" t="s">
        <v>7</v>
      </c>
      <c r="BS3" s="9" t="s">
        <v>7</v>
      </c>
      <c r="BT3" s="9" t="s">
        <v>7</v>
      </c>
      <c r="BU3" s="9" t="s">
        <v>7</v>
      </c>
      <c r="BV3" s="9" t="s">
        <v>7</v>
      </c>
      <c r="BW3" s="9" t="s">
        <v>7</v>
      </c>
      <c r="BX3" s="9" t="s">
        <v>7</v>
      </c>
      <c r="BY3" s="9" t="s">
        <v>7</v>
      </c>
      <c r="BZ3" s="9" t="s">
        <v>7</v>
      </c>
      <c r="CA3" s="9" t="s">
        <v>7</v>
      </c>
      <c r="CB3" s="9" t="s">
        <v>7</v>
      </c>
      <c r="CC3" s="9" t="s">
        <v>7</v>
      </c>
      <c r="CD3" s="9" t="s">
        <v>7</v>
      </c>
      <c r="CE3" s="9" t="s">
        <v>7</v>
      </c>
      <c r="CF3" s="9" t="s">
        <v>7</v>
      </c>
      <c r="CG3" s="9" t="s">
        <v>7</v>
      </c>
      <c r="CH3" s="9" t="s">
        <v>7</v>
      </c>
      <c r="CI3" s="9" t="s">
        <v>7</v>
      </c>
      <c r="CJ3" s="9" t="s">
        <v>7</v>
      </c>
      <c r="CK3" s="9" t="s">
        <v>7</v>
      </c>
      <c r="CL3" s="9" t="s">
        <v>7</v>
      </c>
      <c r="CM3" s="9" t="s">
        <v>7</v>
      </c>
      <c r="CN3" s="9" t="s">
        <v>7</v>
      </c>
      <c r="CO3" s="9" t="s">
        <v>7</v>
      </c>
      <c r="CP3" s="9" t="s">
        <v>7</v>
      </c>
      <c r="CQ3" s="9" t="s">
        <v>7</v>
      </c>
      <c r="CR3" s="9" t="s">
        <v>7</v>
      </c>
      <c r="CS3" s="9" t="s">
        <v>7</v>
      </c>
      <c r="CT3" s="9" t="s">
        <v>7</v>
      </c>
      <c r="CU3" s="9" t="s">
        <v>7</v>
      </c>
      <c r="CV3" s="9" t="s">
        <v>7</v>
      </c>
      <c r="CW3" s="9" t="s">
        <v>7</v>
      </c>
      <c r="CX3" s="9" t="s">
        <v>7</v>
      </c>
      <c r="CY3" s="9" t="s">
        <v>7</v>
      </c>
      <c r="CZ3" s="9" t="s">
        <v>7</v>
      </c>
      <c r="DA3" s="9" t="s">
        <v>7</v>
      </c>
      <c r="DB3" s="9" t="s">
        <v>7</v>
      </c>
      <c r="DC3" s="9" t="s">
        <v>7</v>
      </c>
      <c r="DD3" s="9" t="s">
        <v>7</v>
      </c>
      <c r="DE3" s="9" t="s">
        <v>7</v>
      </c>
      <c r="DF3" s="9" t="s">
        <v>7</v>
      </c>
      <c r="DG3" s="9" t="s">
        <v>7</v>
      </c>
      <c r="DH3" s="9" t="s">
        <v>7</v>
      </c>
      <c r="DI3" s="9" t="s">
        <v>7</v>
      </c>
      <c r="DJ3" s="9" t="s">
        <v>7</v>
      </c>
      <c r="DK3" s="9" t="s">
        <v>7</v>
      </c>
      <c r="DL3" s="9" t="s">
        <v>7</v>
      </c>
      <c r="DM3" s="9" t="s">
        <v>7</v>
      </c>
      <c r="DN3" s="9" t="s">
        <v>7</v>
      </c>
      <c r="DO3" s="9" t="s">
        <v>7</v>
      </c>
      <c r="DP3" s="9" t="s">
        <v>7</v>
      </c>
      <c r="DQ3" s="9" t="s">
        <v>7</v>
      </c>
      <c r="DR3" s="9" t="s">
        <v>7</v>
      </c>
      <c r="DS3" s="9" t="s">
        <v>7</v>
      </c>
      <c r="DT3" s="9" t="s">
        <v>7</v>
      </c>
      <c r="DU3" s="9" t="s">
        <v>7</v>
      </c>
      <c r="DV3" s="9" t="s">
        <v>7</v>
      </c>
      <c r="DW3" s="9" t="s">
        <v>7</v>
      </c>
      <c r="DX3" s="9" t="s">
        <v>7</v>
      </c>
      <c r="DY3" s="9" t="s">
        <v>7</v>
      </c>
      <c r="DZ3" s="9" t="s">
        <v>7</v>
      </c>
      <c r="EA3" s="9" t="s">
        <v>7</v>
      </c>
      <c r="EB3" s="9" t="s">
        <v>7</v>
      </c>
      <c r="EC3" s="9" t="s">
        <v>7</v>
      </c>
      <c r="ED3" s="9" t="s">
        <v>7</v>
      </c>
      <c r="EE3" s="9" t="s">
        <v>7</v>
      </c>
      <c r="EF3" s="9" t="s">
        <v>7</v>
      </c>
      <c r="EG3" s="9" t="s">
        <v>7</v>
      </c>
      <c r="EH3" s="9" t="s">
        <v>7</v>
      </c>
      <c r="EI3" s="9" t="s">
        <v>7</v>
      </c>
      <c r="EJ3" s="9" t="s">
        <v>7</v>
      </c>
      <c r="EK3" s="9" t="s">
        <v>7</v>
      </c>
      <c r="EL3" s="9" t="s">
        <v>7</v>
      </c>
      <c r="EM3" s="9" t="s">
        <v>7</v>
      </c>
      <c r="EN3" s="9" t="s">
        <v>7</v>
      </c>
      <c r="EO3" s="9" t="s">
        <v>7</v>
      </c>
      <c r="EP3" s="9" t="s">
        <v>7</v>
      </c>
      <c r="EQ3" s="9" t="s">
        <v>7</v>
      </c>
      <c r="ER3" s="9" t="s">
        <v>7</v>
      </c>
      <c r="ES3" s="9" t="s">
        <v>7</v>
      </c>
      <c r="ET3" s="9" t="s">
        <v>7</v>
      </c>
      <c r="EU3" s="9" t="s">
        <v>7</v>
      </c>
      <c r="EV3" s="9" t="s">
        <v>7</v>
      </c>
      <c r="EW3" s="9" t="s">
        <v>7</v>
      </c>
      <c r="EX3" s="9" t="s">
        <v>7</v>
      </c>
      <c r="EY3" s="9" t="s">
        <v>7</v>
      </c>
      <c r="EZ3" s="9" t="s">
        <v>7</v>
      </c>
      <c r="FA3" s="9" t="s">
        <v>7</v>
      </c>
      <c r="FB3" s="9" t="s">
        <v>7</v>
      </c>
      <c r="FC3" s="9" t="s">
        <v>7</v>
      </c>
      <c r="FD3" s="9" t="s">
        <v>7</v>
      </c>
      <c r="FE3" s="9" t="s">
        <v>7</v>
      </c>
      <c r="FF3" s="9" t="s">
        <v>7</v>
      </c>
      <c r="FG3" s="9" t="s">
        <v>7</v>
      </c>
      <c r="FH3" s="9" t="s">
        <v>7</v>
      </c>
      <c r="FI3" s="9" t="s">
        <v>7</v>
      </c>
      <c r="FJ3" s="9" t="s">
        <v>7</v>
      </c>
      <c r="FK3" s="9" t="s">
        <v>7</v>
      </c>
      <c r="FL3" s="9" t="s">
        <v>7</v>
      </c>
      <c r="FM3" s="9" t="s">
        <v>7</v>
      </c>
      <c r="FN3" s="9" t="s">
        <v>7</v>
      </c>
      <c r="FO3" s="9" t="s">
        <v>7</v>
      </c>
      <c r="FP3" s="9" t="s">
        <v>7</v>
      </c>
      <c r="FQ3" s="9" t="s">
        <v>7</v>
      </c>
      <c r="FR3" s="9" t="s">
        <v>7</v>
      </c>
      <c r="FS3" s="9" t="s">
        <v>7</v>
      </c>
      <c r="FT3" s="9" t="s">
        <v>7</v>
      </c>
      <c r="FU3" s="9" t="s">
        <v>7</v>
      </c>
      <c r="FV3" s="9" t="s">
        <v>7</v>
      </c>
      <c r="FW3" s="9" t="s">
        <v>7</v>
      </c>
      <c r="FX3" s="9" t="s">
        <v>7</v>
      </c>
      <c r="FY3" s="9" t="s">
        <v>7</v>
      </c>
      <c r="FZ3" s="9" t="s">
        <v>7</v>
      </c>
      <c r="GA3" s="9" t="s">
        <v>7</v>
      </c>
      <c r="GB3" s="9" t="s">
        <v>7</v>
      </c>
      <c r="GC3" s="9" t="s">
        <v>7</v>
      </c>
      <c r="GD3" s="9" t="s">
        <v>7</v>
      </c>
      <c r="GE3" s="9" t="s">
        <v>7</v>
      </c>
      <c r="GF3" s="9" t="s">
        <v>7</v>
      </c>
      <c r="GG3" s="9" t="s">
        <v>7</v>
      </c>
      <c r="GH3" s="9" t="s">
        <v>7</v>
      </c>
      <c r="GI3" s="9" t="s">
        <v>7</v>
      </c>
      <c r="GJ3" s="9" t="s">
        <v>7</v>
      </c>
      <c r="GK3" s="9" t="s">
        <v>7</v>
      </c>
      <c r="GL3" s="9" t="s">
        <v>7</v>
      </c>
      <c r="GM3" s="9" t="s">
        <v>7</v>
      </c>
      <c r="GN3" s="9" t="s">
        <v>7</v>
      </c>
      <c r="GO3" s="9" t="s">
        <v>7</v>
      </c>
      <c r="GP3" s="9" t="s">
        <v>7</v>
      </c>
      <c r="GQ3" s="9" t="s">
        <v>7</v>
      </c>
      <c r="GR3" s="9" t="s">
        <v>7</v>
      </c>
      <c r="GS3" s="9" t="s">
        <v>7</v>
      </c>
      <c r="GT3" s="9" t="s">
        <v>7</v>
      </c>
      <c r="GU3" s="9" t="s">
        <v>7</v>
      </c>
      <c r="GV3" s="9" t="s">
        <v>7</v>
      </c>
      <c r="GW3" s="9" t="s">
        <v>7</v>
      </c>
      <c r="GX3" s="9" t="s">
        <v>7</v>
      </c>
      <c r="GY3" s="9" t="s">
        <v>7</v>
      </c>
      <c r="GZ3" s="9" t="s">
        <v>7</v>
      </c>
      <c r="HA3" s="9" t="s">
        <v>7</v>
      </c>
      <c r="HB3" s="9" t="s">
        <v>7</v>
      </c>
      <c r="HC3" s="9" t="s">
        <v>7</v>
      </c>
      <c r="HD3" s="9" t="s">
        <v>7</v>
      </c>
      <c r="HE3" s="9" t="s">
        <v>7</v>
      </c>
      <c r="HF3" s="9" t="s">
        <v>7</v>
      </c>
      <c r="HG3" s="9" t="s">
        <v>7</v>
      </c>
      <c r="HH3" s="9" t="s">
        <v>7</v>
      </c>
      <c r="HI3" s="9" t="s">
        <v>7</v>
      </c>
      <c r="HJ3" s="9" t="s">
        <v>7</v>
      </c>
      <c r="HK3" s="9" t="s">
        <v>7</v>
      </c>
      <c r="HL3" s="9" t="s">
        <v>7</v>
      </c>
      <c r="HM3" s="9" t="s">
        <v>7</v>
      </c>
      <c r="HN3" s="9" t="s">
        <v>7</v>
      </c>
      <c r="HO3" s="9" t="s">
        <v>7</v>
      </c>
      <c r="HP3" s="9" t="s">
        <v>7</v>
      </c>
      <c r="HQ3" s="9" t="s">
        <v>7</v>
      </c>
      <c r="HR3" s="9" t="s">
        <v>7</v>
      </c>
      <c r="HS3" s="9" t="s">
        <v>7</v>
      </c>
      <c r="HT3" s="9" t="s">
        <v>7</v>
      </c>
      <c r="HU3" s="9" t="s">
        <v>7</v>
      </c>
      <c r="HV3" s="9" t="s">
        <v>7</v>
      </c>
      <c r="HW3" s="9" t="s">
        <v>7</v>
      </c>
      <c r="HX3" s="9" t="s">
        <v>7</v>
      </c>
      <c r="HY3" s="9" t="s">
        <v>7</v>
      </c>
      <c r="HZ3" s="9" t="s">
        <v>7</v>
      </c>
      <c r="IA3" s="9" t="s">
        <v>7</v>
      </c>
      <c r="IB3" s="9" t="s">
        <v>7</v>
      </c>
      <c r="IC3" s="9" t="s">
        <v>7</v>
      </c>
      <c r="ID3" s="9" t="s">
        <v>7</v>
      </c>
      <c r="IE3" s="9" t="s">
        <v>7</v>
      </c>
      <c r="IF3" s="9" t="s">
        <v>7</v>
      </c>
      <c r="IG3" s="9" t="s">
        <v>7</v>
      </c>
      <c r="IH3" s="9" t="s">
        <v>7</v>
      </c>
      <c r="II3" s="9" t="s">
        <v>7</v>
      </c>
      <c r="IJ3" s="9" t="s">
        <v>7</v>
      </c>
      <c r="IK3" s="9" t="s">
        <v>7</v>
      </c>
      <c r="IL3" s="9" t="s">
        <v>7</v>
      </c>
      <c r="IM3" s="9" t="s">
        <v>7</v>
      </c>
      <c r="IN3" s="9" t="s">
        <v>7</v>
      </c>
      <c r="IO3" s="9" t="s">
        <v>7</v>
      </c>
      <c r="IP3" s="9" t="s">
        <v>7</v>
      </c>
      <c r="IQ3" s="9" t="s">
        <v>7</v>
      </c>
      <c r="IR3" s="9" t="s">
        <v>7</v>
      </c>
      <c r="IS3" s="9" t="s">
        <v>7</v>
      </c>
      <c r="IT3" s="9" t="s">
        <v>7</v>
      </c>
      <c r="IU3" s="9" t="s">
        <v>7</v>
      </c>
      <c r="IV3" s="9" t="s">
        <v>7</v>
      </c>
      <c r="IW3" s="9" t="s">
        <v>7</v>
      </c>
      <c r="IX3" s="9" t="s">
        <v>7</v>
      </c>
      <c r="IY3" s="9" t="s">
        <v>7</v>
      </c>
      <c r="IZ3" s="9" t="s">
        <v>7</v>
      </c>
      <c r="JA3" s="9" t="s">
        <v>7</v>
      </c>
      <c r="JB3" s="9" t="s">
        <v>7</v>
      </c>
      <c r="JC3" s="9" t="s">
        <v>7</v>
      </c>
      <c r="JD3" s="9" t="s">
        <v>7</v>
      </c>
      <c r="JE3" s="9" t="s">
        <v>7</v>
      </c>
      <c r="JF3" s="9" t="s">
        <v>7</v>
      </c>
      <c r="JG3" s="9" t="s">
        <v>7</v>
      </c>
      <c r="JH3" s="9" t="s">
        <v>7</v>
      </c>
      <c r="JI3" s="9" t="s">
        <v>7</v>
      </c>
      <c r="JJ3" s="9" t="s">
        <v>7</v>
      </c>
      <c r="JK3" s="9" t="s">
        <v>7</v>
      </c>
      <c r="JL3" s="9" t="s">
        <v>7</v>
      </c>
      <c r="JM3" s="9" t="s">
        <v>7</v>
      </c>
      <c r="JN3" s="9" t="s">
        <v>7</v>
      </c>
      <c r="JO3" s="9" t="s">
        <v>7</v>
      </c>
      <c r="JP3" s="9" t="s">
        <v>7</v>
      </c>
      <c r="JQ3" s="9" t="s">
        <v>7</v>
      </c>
      <c r="JR3" s="9" t="s">
        <v>7</v>
      </c>
      <c r="JS3" s="9" t="s">
        <v>7</v>
      </c>
      <c r="JT3" s="9" t="s">
        <v>7</v>
      </c>
      <c r="JU3" s="9" t="s">
        <v>7</v>
      </c>
      <c r="JV3" s="9" t="s">
        <v>7</v>
      </c>
      <c r="JW3" s="9" t="s">
        <v>7</v>
      </c>
      <c r="JX3" s="9" t="s">
        <v>7</v>
      </c>
      <c r="JY3" s="9" t="s">
        <v>7</v>
      </c>
      <c r="JZ3" s="9" t="s">
        <v>7</v>
      </c>
      <c r="KA3" s="9" t="s">
        <v>7</v>
      </c>
      <c r="KB3" s="9" t="s">
        <v>7</v>
      </c>
      <c r="KC3" s="9" t="s">
        <v>7</v>
      </c>
      <c r="KD3" s="9" t="s">
        <v>7</v>
      </c>
      <c r="KE3" s="9" t="s">
        <v>7</v>
      </c>
      <c r="KF3" s="9" t="s">
        <v>7</v>
      </c>
      <c r="KG3" s="9" t="s">
        <v>7</v>
      </c>
      <c r="KH3" s="9" t="s">
        <v>7</v>
      </c>
      <c r="KI3" s="9" t="s">
        <v>7</v>
      </c>
      <c r="KJ3" s="9" t="s">
        <v>7</v>
      </c>
      <c r="KK3" s="9" t="s">
        <v>7</v>
      </c>
      <c r="KL3" s="9" t="s">
        <v>7</v>
      </c>
      <c r="KM3" s="9" t="s">
        <v>7</v>
      </c>
      <c r="KN3" s="9" t="s">
        <v>7</v>
      </c>
      <c r="KO3" s="9" t="s">
        <v>7</v>
      </c>
      <c r="KP3" s="9" t="s">
        <v>7</v>
      </c>
      <c r="KQ3" s="9" t="s">
        <v>7</v>
      </c>
      <c r="KR3" s="9" t="s">
        <v>7</v>
      </c>
      <c r="KS3" s="9" t="s">
        <v>7</v>
      </c>
      <c r="KT3" s="9" t="s">
        <v>7</v>
      </c>
      <c r="KU3" s="9" t="s">
        <v>7</v>
      </c>
      <c r="KV3" s="9" t="s">
        <v>7</v>
      </c>
      <c r="KW3" s="9" t="s">
        <v>7</v>
      </c>
      <c r="KX3" s="9" t="s">
        <v>7</v>
      </c>
      <c r="KY3" s="9" t="s">
        <v>7</v>
      </c>
      <c r="KZ3" s="9" t="s">
        <v>7</v>
      </c>
      <c r="LA3" s="9" t="s">
        <v>7</v>
      </c>
      <c r="LB3" s="9" t="s">
        <v>7</v>
      </c>
      <c r="LC3" s="9" t="s">
        <v>7</v>
      </c>
      <c r="LD3" s="9" t="s">
        <v>7</v>
      </c>
      <c r="LE3" s="9" t="s">
        <v>7</v>
      </c>
      <c r="LF3" s="9" t="s">
        <v>7</v>
      </c>
      <c r="LG3" s="9" t="s">
        <v>7</v>
      </c>
      <c r="LH3" s="9" t="s">
        <v>7</v>
      </c>
      <c r="LI3" s="9" t="s">
        <v>7</v>
      </c>
      <c r="LJ3" s="9" t="s">
        <v>7</v>
      </c>
      <c r="LK3" s="9" t="s">
        <v>7</v>
      </c>
      <c r="LL3" s="9" t="s">
        <v>7</v>
      </c>
      <c r="LM3" s="9" t="s">
        <v>7</v>
      </c>
      <c r="LN3" s="9" t="s">
        <v>7</v>
      </c>
      <c r="LO3" s="9" t="s">
        <v>7</v>
      </c>
      <c r="LP3" s="9" t="s">
        <v>7</v>
      </c>
      <c r="LQ3" s="9" t="s">
        <v>7</v>
      </c>
      <c r="LR3" s="9" t="s">
        <v>7</v>
      </c>
      <c r="LS3" s="9" t="s">
        <v>7</v>
      </c>
      <c r="LT3" s="9" t="s">
        <v>7</v>
      </c>
      <c r="LU3" s="9" t="s">
        <v>7</v>
      </c>
      <c r="LV3" s="9" t="s">
        <v>7</v>
      </c>
      <c r="LW3" s="9" t="s">
        <v>7</v>
      </c>
      <c r="LX3" s="9" t="s">
        <v>7</v>
      </c>
      <c r="LY3" s="9" t="s">
        <v>7</v>
      </c>
      <c r="LZ3" s="9" t="s">
        <v>7</v>
      </c>
      <c r="MA3" s="9" t="s">
        <v>7</v>
      </c>
      <c r="MB3" s="9" t="s">
        <v>7</v>
      </c>
      <c r="MC3" s="9" t="s">
        <v>7</v>
      </c>
      <c r="MD3" s="9" t="s">
        <v>7</v>
      </c>
      <c r="ME3" s="9" t="s">
        <v>7</v>
      </c>
      <c r="MF3" s="9" t="s">
        <v>7</v>
      </c>
      <c r="MG3" s="9" t="s">
        <v>7</v>
      </c>
      <c r="MH3" s="9" t="s">
        <v>7</v>
      </c>
      <c r="MI3" s="9" t="s">
        <v>7</v>
      </c>
      <c r="MJ3" s="9" t="s">
        <v>7</v>
      </c>
      <c r="MK3" s="9" t="s">
        <v>7</v>
      </c>
      <c r="ML3" s="9" t="s">
        <v>7</v>
      </c>
      <c r="MM3" s="9" t="s">
        <v>7</v>
      </c>
      <c r="MN3" s="9" t="s">
        <v>7</v>
      </c>
      <c r="MO3" s="9" t="s">
        <v>7</v>
      </c>
      <c r="MP3" s="9" t="s">
        <v>7</v>
      </c>
      <c r="MQ3" s="9" t="s">
        <v>7</v>
      </c>
      <c r="MR3" s="9" t="s">
        <v>7</v>
      </c>
      <c r="MS3" s="9" t="s">
        <v>7</v>
      </c>
      <c r="MT3" s="9" t="s">
        <v>7</v>
      </c>
      <c r="MU3" s="9" t="s">
        <v>7</v>
      </c>
      <c r="MV3" s="9" t="s">
        <v>7</v>
      </c>
      <c r="MW3" s="9" t="s">
        <v>7</v>
      </c>
      <c r="MX3" s="9" t="s">
        <v>7</v>
      </c>
      <c r="MY3" s="9" t="s">
        <v>7</v>
      </c>
      <c r="MZ3" s="9" t="s">
        <v>7</v>
      </c>
      <c r="NA3" s="9" t="s">
        <v>7</v>
      </c>
      <c r="NB3" s="9" t="s">
        <v>7</v>
      </c>
      <c r="NC3" s="9" t="s">
        <v>7</v>
      </c>
      <c r="ND3" s="9" t="s">
        <v>7</v>
      </c>
      <c r="NE3" s="9" t="s">
        <v>7</v>
      </c>
      <c r="NF3" s="9" t="s">
        <v>7</v>
      </c>
      <c r="NG3" s="160"/>
      <c r="NH3" s="160"/>
      <c r="NI3" s="9" t="s">
        <v>80</v>
      </c>
      <c r="NJ3" s="9" t="s">
        <v>80</v>
      </c>
    </row>
    <row r="4" spans="1:374" ht="15.75" x14ac:dyDescent="0.25">
      <c r="A4" s="22">
        <f ca="1">A5</f>
        <v>44704</v>
      </c>
      <c r="B4" s="10">
        <v>501</v>
      </c>
      <c r="C4" s="158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  <c r="AU4" s="122"/>
      <c r="AV4" s="122"/>
      <c r="AW4" s="122"/>
      <c r="AX4" s="122"/>
      <c r="AY4" s="122"/>
      <c r="AZ4" s="122"/>
      <c r="BA4" s="122"/>
      <c r="BB4" s="122"/>
      <c r="BC4" s="122"/>
      <c r="BD4" s="122"/>
      <c r="BE4" s="122"/>
      <c r="BF4" s="122"/>
      <c r="BG4" s="122"/>
      <c r="BH4" s="122"/>
      <c r="BI4" s="122"/>
      <c r="BJ4" s="122"/>
      <c r="BK4" s="122"/>
      <c r="BL4" s="122"/>
      <c r="BM4" s="122"/>
      <c r="BN4" s="122"/>
      <c r="BO4" s="122"/>
      <c r="BP4" s="122"/>
      <c r="BQ4" s="122"/>
      <c r="BR4" s="122"/>
      <c r="BS4" s="122"/>
      <c r="BT4" s="122"/>
      <c r="BU4" s="122"/>
      <c r="BV4" s="122"/>
      <c r="BW4" s="122"/>
      <c r="BX4" s="122"/>
      <c r="BY4" s="122"/>
      <c r="BZ4" s="122"/>
      <c r="CA4" s="122"/>
      <c r="CB4" s="122"/>
      <c r="CC4" s="122"/>
      <c r="CD4" s="122"/>
      <c r="CE4" s="122"/>
      <c r="CF4" s="122"/>
      <c r="CG4" s="122"/>
      <c r="CH4" s="122"/>
      <c r="CI4" s="122"/>
      <c r="CJ4" s="122"/>
      <c r="CK4" s="122"/>
      <c r="CL4" s="122"/>
      <c r="CM4" s="122"/>
      <c r="CN4" s="122"/>
      <c r="CO4" s="122"/>
      <c r="CP4" s="122"/>
      <c r="CQ4" s="122"/>
      <c r="CR4" s="122"/>
      <c r="CS4" s="122"/>
      <c r="CT4" s="122"/>
      <c r="CU4" s="122"/>
      <c r="CV4" s="122"/>
      <c r="CW4" s="122"/>
      <c r="CX4" s="122"/>
      <c r="CY4" s="122"/>
      <c r="CZ4" s="122"/>
      <c r="DA4" s="122"/>
      <c r="DB4" s="122"/>
      <c r="DC4" s="122"/>
      <c r="DD4" s="122"/>
      <c r="DE4" s="122"/>
      <c r="DF4" s="122"/>
      <c r="DG4" s="122"/>
      <c r="DH4" s="122"/>
      <c r="DI4" s="122"/>
      <c r="DJ4" s="122"/>
      <c r="DK4" s="122"/>
      <c r="DL4" s="122"/>
      <c r="DM4" s="122"/>
      <c r="DN4" s="122"/>
      <c r="DO4" s="122"/>
      <c r="DP4" s="122"/>
      <c r="DQ4" s="122"/>
      <c r="DR4" s="122"/>
      <c r="DS4" s="122"/>
      <c r="DT4" s="122"/>
      <c r="DU4" s="122"/>
      <c r="DV4" s="122"/>
      <c r="DW4" s="122"/>
      <c r="DX4" s="122"/>
      <c r="DY4" s="122"/>
      <c r="DZ4" s="122"/>
      <c r="EA4" s="122"/>
      <c r="EB4" s="122"/>
      <c r="EC4" s="122"/>
      <c r="ED4" s="122"/>
      <c r="EE4" s="122"/>
      <c r="EF4" s="122"/>
      <c r="EG4" s="122"/>
      <c r="EH4" s="122"/>
      <c r="EI4" s="122"/>
      <c r="EJ4" s="122"/>
      <c r="EK4" s="122"/>
      <c r="EL4" s="122"/>
      <c r="EM4" s="122"/>
      <c r="EN4" s="122"/>
      <c r="EO4" s="122"/>
      <c r="EP4" s="122"/>
      <c r="EQ4" s="122"/>
      <c r="ER4" s="122"/>
      <c r="ES4" s="122"/>
      <c r="ET4" s="122"/>
      <c r="EU4" s="122"/>
      <c r="EV4" s="122"/>
      <c r="EW4" s="122"/>
      <c r="EX4" s="122"/>
      <c r="EY4" s="122"/>
      <c r="EZ4" s="122"/>
      <c r="FA4" s="122"/>
      <c r="FB4" s="122"/>
      <c r="FC4" s="122"/>
      <c r="FD4" s="122"/>
      <c r="FE4" s="122"/>
      <c r="FF4" s="122"/>
      <c r="FG4" s="122"/>
      <c r="FH4" s="122"/>
      <c r="FI4" s="122"/>
      <c r="FJ4" s="122"/>
      <c r="FK4" s="122"/>
      <c r="FL4" s="122"/>
      <c r="FM4" s="122"/>
      <c r="FN4" s="122"/>
      <c r="FO4" s="122"/>
      <c r="FP4" s="122"/>
      <c r="FQ4" s="122"/>
      <c r="FR4" s="122"/>
      <c r="FS4" s="122"/>
      <c r="FT4" s="122"/>
      <c r="FU4" s="122"/>
      <c r="FV4" s="122"/>
      <c r="FW4" s="122"/>
      <c r="FX4" s="122"/>
      <c r="FY4" s="122"/>
      <c r="FZ4" s="122"/>
      <c r="GA4" s="122"/>
      <c r="GB4" s="122"/>
      <c r="GC4" s="122"/>
      <c r="GD4" s="122"/>
      <c r="GE4" s="122"/>
      <c r="GF4" s="122"/>
      <c r="GG4" s="122"/>
      <c r="GH4" s="122"/>
      <c r="GI4" s="122"/>
      <c r="GJ4" s="122"/>
      <c r="GK4" s="122"/>
      <c r="GL4" s="122"/>
      <c r="GM4" s="122"/>
      <c r="GN4" s="122"/>
      <c r="GO4" s="122"/>
      <c r="GP4" s="122"/>
      <c r="GQ4" s="122"/>
      <c r="GR4" s="122"/>
      <c r="GS4" s="122"/>
      <c r="GT4" s="122"/>
      <c r="GU4" s="122"/>
      <c r="GV4" s="122"/>
      <c r="GW4" s="122"/>
      <c r="GX4" s="122"/>
      <c r="GY4" s="122"/>
      <c r="GZ4" s="122"/>
      <c r="HA4" s="122"/>
      <c r="HB4" s="122"/>
      <c r="HC4" s="122"/>
      <c r="HD4" s="122"/>
      <c r="HE4" s="122"/>
      <c r="HF4" s="122"/>
      <c r="HG4" s="122"/>
      <c r="HH4" s="122"/>
      <c r="HI4" s="122"/>
      <c r="HJ4" s="122"/>
      <c r="HK4" s="122"/>
      <c r="HL4" s="122"/>
      <c r="HM4" s="122"/>
      <c r="HN4" s="122"/>
      <c r="HO4" s="122"/>
      <c r="HP4" s="122"/>
      <c r="HQ4" s="122"/>
      <c r="HR4" s="122"/>
      <c r="HS4" s="122"/>
      <c r="HT4" s="122"/>
      <c r="HU4" s="122"/>
      <c r="HV4" s="122"/>
      <c r="HW4" s="122"/>
      <c r="HX4" s="122"/>
      <c r="HY4" s="122"/>
      <c r="HZ4" s="122"/>
      <c r="IA4" s="122"/>
      <c r="IB4" s="122"/>
      <c r="IC4" s="122"/>
      <c r="ID4" s="122"/>
      <c r="IE4" s="122"/>
      <c r="IF4" s="122"/>
      <c r="IG4" s="122"/>
      <c r="IH4" s="122"/>
      <c r="II4" s="122"/>
      <c r="IJ4" s="122"/>
      <c r="IK4" s="122"/>
      <c r="IL4" s="122"/>
      <c r="IM4" s="122"/>
      <c r="IN4" s="122"/>
      <c r="IO4" s="122"/>
      <c r="IP4" s="122"/>
      <c r="IQ4" s="122"/>
      <c r="IR4" s="122"/>
      <c r="IS4" s="122"/>
      <c r="IT4" s="122"/>
      <c r="IU4" s="122"/>
      <c r="IV4" s="122"/>
      <c r="IW4" s="122"/>
      <c r="IX4" s="122"/>
      <c r="IY4" s="122"/>
      <c r="IZ4" s="122"/>
      <c r="JA4" s="122"/>
      <c r="JB4" s="122"/>
      <c r="JC4" s="122"/>
      <c r="JD4" s="122"/>
      <c r="JE4" s="122"/>
      <c r="JF4" s="122"/>
      <c r="JG4" s="122"/>
      <c r="JH4" s="122"/>
      <c r="JI4" s="122"/>
      <c r="JJ4" s="122"/>
      <c r="JK4" s="122"/>
      <c r="JL4" s="122"/>
      <c r="JM4" s="122"/>
      <c r="JN4" s="122"/>
      <c r="JO4" s="122"/>
      <c r="JP4" s="122"/>
      <c r="JQ4" s="122"/>
      <c r="JR4" s="122"/>
      <c r="JS4" s="122"/>
      <c r="JT4" s="122"/>
      <c r="JU4" s="122"/>
      <c r="JV4" s="122"/>
      <c r="JW4" s="122"/>
      <c r="JX4" s="122"/>
      <c r="JY4" s="122"/>
      <c r="JZ4" s="122"/>
      <c r="KA4" s="122"/>
      <c r="KB4" s="122"/>
      <c r="KC4" s="122"/>
      <c r="KD4" s="122"/>
      <c r="KE4" s="122"/>
      <c r="KF4" s="122"/>
      <c r="KG4" s="122"/>
      <c r="KH4" s="122"/>
      <c r="KI4" s="122"/>
      <c r="KJ4" s="122"/>
      <c r="KK4" s="122"/>
      <c r="KL4" s="122"/>
      <c r="KM4" s="122"/>
      <c r="KN4" s="122"/>
      <c r="KO4" s="122"/>
      <c r="KP4" s="122"/>
      <c r="KQ4" s="122"/>
      <c r="KR4" s="122"/>
      <c r="KS4" s="122"/>
      <c r="KT4" s="122"/>
      <c r="KU4" s="122"/>
      <c r="KV4" s="122"/>
      <c r="KW4" s="122"/>
      <c r="KX4" s="122"/>
      <c r="KY4" s="122"/>
      <c r="KZ4" s="122"/>
      <c r="LA4" s="122"/>
      <c r="LB4" s="122"/>
      <c r="LC4" s="122"/>
      <c r="LD4" s="122"/>
      <c r="LE4" s="122"/>
      <c r="LF4" s="122"/>
      <c r="LG4" s="122"/>
      <c r="LH4" s="122"/>
      <c r="LI4" s="122"/>
      <c r="LJ4" s="122"/>
      <c r="LK4" s="122"/>
      <c r="LL4" s="122"/>
      <c r="LM4" s="122"/>
      <c r="LN4" s="122"/>
      <c r="LO4" s="122"/>
      <c r="LP4" s="122"/>
      <c r="LQ4" s="122"/>
      <c r="LR4" s="122"/>
      <c r="LS4" s="122"/>
      <c r="LT4" s="122"/>
      <c r="LU4" s="122"/>
      <c r="LV4" s="122"/>
      <c r="LW4" s="122"/>
      <c r="LX4" s="122"/>
      <c r="LY4" s="122"/>
      <c r="LZ4" s="122"/>
      <c r="MA4" s="122"/>
      <c r="MB4" s="122"/>
      <c r="MC4" s="122"/>
      <c r="MD4" s="122"/>
      <c r="ME4" s="122"/>
      <c r="MF4" s="122"/>
      <c r="MG4" s="122"/>
      <c r="MH4" s="122"/>
      <c r="MI4" s="122"/>
      <c r="MJ4" s="122"/>
      <c r="MK4" s="122"/>
      <c r="ML4" s="122"/>
      <c r="MM4" s="122"/>
      <c r="MN4" s="122"/>
      <c r="MO4" s="122"/>
      <c r="MP4" s="122"/>
      <c r="MQ4" s="122"/>
      <c r="MR4" s="122"/>
      <c r="MS4" s="122"/>
      <c r="MT4" s="122"/>
      <c r="MU4" s="122"/>
      <c r="MV4" s="122"/>
      <c r="MW4" s="122"/>
      <c r="MX4" s="122"/>
      <c r="MY4" s="122"/>
      <c r="MZ4" s="122"/>
      <c r="NA4" s="122"/>
      <c r="NB4" s="122"/>
      <c r="NC4" s="122"/>
      <c r="ND4" s="122"/>
      <c r="NE4" s="157"/>
      <c r="NF4" s="122"/>
    </row>
    <row r="5" spans="1:374" ht="15.75" x14ac:dyDescent="0.25">
      <c r="A5" s="23">
        <f ca="1">TODAY()</f>
        <v>44704</v>
      </c>
      <c r="B5" s="11">
        <v>502</v>
      </c>
      <c r="C5" s="144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123"/>
      <c r="BX5" s="123"/>
      <c r="BY5" s="123"/>
      <c r="BZ5" s="123"/>
      <c r="CA5" s="123"/>
      <c r="CB5" s="123"/>
      <c r="CC5" s="123"/>
      <c r="CD5" s="123"/>
      <c r="CE5" s="123"/>
      <c r="CF5" s="123"/>
      <c r="CG5" s="123"/>
      <c r="CH5" s="123"/>
      <c r="CI5" s="123"/>
      <c r="CJ5" s="123"/>
      <c r="CK5" s="123"/>
      <c r="CL5" s="123"/>
      <c r="CM5" s="123"/>
      <c r="CN5" s="123"/>
      <c r="CO5" s="123"/>
      <c r="CP5" s="123"/>
      <c r="CQ5" s="123"/>
      <c r="CR5" s="123"/>
      <c r="CS5" s="123"/>
      <c r="CT5" s="123"/>
      <c r="CU5" s="123"/>
      <c r="CV5" s="123"/>
      <c r="CW5" s="123"/>
      <c r="CX5" s="123"/>
      <c r="CY5" s="123"/>
      <c r="CZ5" s="123"/>
      <c r="DA5" s="123"/>
      <c r="DB5" s="123"/>
      <c r="DC5" s="123"/>
      <c r="DD5" s="123"/>
      <c r="DE5" s="123"/>
      <c r="DF5" s="123"/>
      <c r="DG5" s="123"/>
      <c r="DH5" s="123"/>
      <c r="DI5" s="123"/>
      <c r="DJ5" s="123"/>
      <c r="DK5" s="123"/>
      <c r="DL5" s="123"/>
      <c r="DM5" s="123"/>
      <c r="DN5" s="123"/>
      <c r="DO5" s="123"/>
      <c r="DP5" s="123"/>
      <c r="DQ5" s="123"/>
      <c r="DR5" s="123"/>
      <c r="DS5" s="123"/>
      <c r="DT5" s="123"/>
      <c r="DU5" s="123"/>
      <c r="DV5" s="123"/>
      <c r="DW5" s="123"/>
      <c r="DX5" s="123"/>
      <c r="DY5" s="123"/>
      <c r="DZ5" s="123"/>
      <c r="EA5" s="123"/>
      <c r="EB5" s="123"/>
      <c r="EC5" s="123"/>
      <c r="ED5" s="123"/>
      <c r="EE5" s="123"/>
      <c r="EF5" s="123"/>
      <c r="EG5" s="123"/>
      <c r="EH5" s="123"/>
      <c r="EI5" s="123"/>
      <c r="EJ5" s="123"/>
      <c r="EK5" s="123"/>
      <c r="EL5" s="123"/>
      <c r="EM5" s="123"/>
      <c r="EN5" s="123"/>
      <c r="EO5" s="123"/>
      <c r="EP5" s="123"/>
      <c r="EQ5" s="123"/>
      <c r="ER5" s="123"/>
      <c r="ES5" s="123"/>
      <c r="ET5" s="123"/>
      <c r="EU5" s="123"/>
      <c r="EV5" s="123"/>
      <c r="EW5" s="123"/>
      <c r="EX5" s="123"/>
      <c r="EY5" s="123"/>
      <c r="EZ5" s="123"/>
      <c r="FA5" s="123"/>
      <c r="FB5" s="123"/>
      <c r="FC5" s="123"/>
      <c r="FD5" s="123"/>
      <c r="FE5" s="123"/>
      <c r="FF5" s="123"/>
      <c r="FG5" s="123"/>
      <c r="FH5" s="123"/>
      <c r="FI5" s="123"/>
      <c r="FJ5" s="123"/>
      <c r="FK5" s="123"/>
      <c r="FL5" s="123"/>
      <c r="FM5" s="123"/>
      <c r="FN5" s="123"/>
      <c r="FO5" s="123"/>
      <c r="FP5" s="123"/>
      <c r="FQ5" s="123"/>
      <c r="FR5" s="123"/>
      <c r="FS5" s="123"/>
      <c r="FT5" s="123"/>
      <c r="FU5" s="123"/>
      <c r="FV5" s="123"/>
      <c r="FW5" s="123"/>
      <c r="FX5" s="123"/>
      <c r="FY5" s="123"/>
      <c r="FZ5" s="123"/>
      <c r="GA5" s="123"/>
      <c r="GB5" s="123"/>
      <c r="GC5" s="123"/>
      <c r="GD5" s="123"/>
      <c r="GE5" s="123"/>
      <c r="GF5" s="123"/>
      <c r="GG5" s="123"/>
      <c r="GH5" s="123"/>
      <c r="GI5" s="123"/>
      <c r="GJ5" s="123"/>
      <c r="GK5" s="123"/>
      <c r="GL5" s="123"/>
      <c r="GM5" s="123"/>
      <c r="GN5" s="123"/>
      <c r="GO5" s="123"/>
      <c r="GP5" s="123"/>
      <c r="GQ5" s="123"/>
      <c r="GR5" s="123"/>
      <c r="GS5" s="123"/>
      <c r="GT5" s="123"/>
      <c r="GU5" s="123"/>
      <c r="GV5" s="123"/>
      <c r="GW5" s="123"/>
      <c r="GX5" s="123"/>
      <c r="GY5" s="123"/>
      <c r="GZ5" s="123"/>
      <c r="HA5" s="123"/>
      <c r="HB5" s="123"/>
      <c r="HC5" s="123"/>
      <c r="HD5" s="123"/>
      <c r="HE5" s="123"/>
      <c r="HF5" s="123"/>
      <c r="HG5" s="123"/>
      <c r="HH5" s="123"/>
      <c r="HI5" s="123"/>
      <c r="HJ5" s="123"/>
      <c r="HK5" s="123"/>
      <c r="HL5" s="123"/>
      <c r="HM5" s="123"/>
      <c r="HN5" s="123"/>
      <c r="HO5" s="123"/>
      <c r="HP5" s="123"/>
      <c r="HQ5" s="123"/>
      <c r="HR5" s="123"/>
      <c r="HS5" s="123"/>
      <c r="HT5" s="123"/>
      <c r="HU5" s="123"/>
      <c r="HV5" s="123"/>
      <c r="HW5" s="123"/>
      <c r="HX5" s="123"/>
      <c r="HY5" s="123"/>
      <c r="HZ5" s="123"/>
      <c r="IA5" s="123"/>
      <c r="IB5" s="123"/>
      <c r="IC5" s="123"/>
      <c r="ID5" s="123"/>
      <c r="IE5" s="123"/>
      <c r="IF5" s="123"/>
      <c r="IG5" s="123"/>
      <c r="IH5" s="123"/>
      <c r="II5" s="123"/>
      <c r="IJ5" s="123"/>
      <c r="IK5" s="123"/>
      <c r="IL5" s="123"/>
      <c r="IM5" s="123"/>
      <c r="IN5" s="123"/>
      <c r="IO5" s="123"/>
      <c r="IP5" s="123"/>
      <c r="IQ5" s="123"/>
      <c r="IR5" s="123"/>
      <c r="IS5" s="123"/>
      <c r="IT5" s="123"/>
      <c r="IU5" s="123"/>
      <c r="IV5" s="123"/>
      <c r="IW5" s="123"/>
      <c r="IX5" s="123"/>
      <c r="IY5" s="123"/>
      <c r="IZ5" s="123"/>
      <c r="JA5" s="123"/>
      <c r="JB5" s="123"/>
      <c r="JC5" s="123"/>
      <c r="JD5" s="123"/>
      <c r="JE5" s="123"/>
      <c r="JF5" s="123"/>
      <c r="JG5" s="123"/>
      <c r="JH5" s="123"/>
      <c r="JI5" s="123"/>
      <c r="JJ5" s="123"/>
      <c r="JK5" s="123"/>
      <c r="JL5" s="123"/>
      <c r="JM5" s="123"/>
      <c r="JN5" s="123"/>
      <c r="JO5" s="123"/>
      <c r="JP5" s="123"/>
      <c r="JQ5" s="123"/>
      <c r="JR5" s="123"/>
      <c r="JS5" s="123"/>
      <c r="JT5" s="123"/>
      <c r="JU5" s="123"/>
      <c r="JV5" s="123"/>
      <c r="JW5" s="123"/>
      <c r="JX5" s="123"/>
      <c r="JY5" s="123"/>
      <c r="JZ5" s="123"/>
      <c r="KA5" s="123"/>
      <c r="KB5" s="123"/>
      <c r="KC5" s="123"/>
      <c r="KD5" s="123"/>
      <c r="KE5" s="123"/>
      <c r="KF5" s="123"/>
      <c r="KG5" s="123"/>
      <c r="KH5" s="123"/>
      <c r="KI5" s="123"/>
      <c r="KJ5" s="123"/>
      <c r="KK5" s="123"/>
      <c r="KL5" s="123"/>
      <c r="KM5" s="123"/>
      <c r="KN5" s="123"/>
      <c r="KO5" s="123"/>
      <c r="KP5" s="123"/>
      <c r="KQ5" s="123"/>
      <c r="KR5" s="123"/>
      <c r="KS5" s="123"/>
      <c r="KT5" s="123"/>
      <c r="KU5" s="123"/>
      <c r="KV5" s="123"/>
      <c r="KW5" s="123"/>
      <c r="KX5" s="123"/>
      <c r="KY5" s="123"/>
      <c r="KZ5" s="123"/>
      <c r="LA5" s="123"/>
      <c r="LB5" s="123"/>
      <c r="LC5" s="123"/>
      <c r="LD5" s="123"/>
      <c r="LE5" s="123"/>
      <c r="LF5" s="123"/>
      <c r="LG5" s="123"/>
      <c r="LH5" s="123"/>
      <c r="LI5" s="123"/>
      <c r="LJ5" s="123"/>
      <c r="LK5" s="123"/>
      <c r="LL5" s="123"/>
      <c r="LM5" s="123"/>
      <c r="LN5" s="123"/>
      <c r="LO5" s="123"/>
      <c r="LP5" s="123"/>
      <c r="LQ5" s="123"/>
      <c r="LR5" s="123"/>
      <c r="LS5" s="123"/>
      <c r="LT5" s="123"/>
      <c r="LU5" s="123"/>
      <c r="LV5" s="123"/>
      <c r="LW5" s="123"/>
      <c r="LX5" s="123"/>
      <c r="LY5" s="123"/>
      <c r="LZ5" s="123"/>
      <c r="MA5" s="123"/>
      <c r="MB5" s="123"/>
      <c r="MC5" s="123"/>
      <c r="MD5" s="123"/>
      <c r="ME5" s="123"/>
      <c r="MF5" s="123"/>
      <c r="MG5" s="123"/>
      <c r="MH5" s="123"/>
      <c r="MI5" s="123"/>
      <c r="MJ5" s="123"/>
      <c r="MK5" s="123"/>
      <c r="ML5" s="123"/>
      <c r="MM5" s="123"/>
      <c r="MN5" s="123"/>
      <c r="MO5" s="123"/>
      <c r="MP5" s="123"/>
      <c r="MQ5" s="123"/>
      <c r="MR5" s="123"/>
      <c r="MS5" s="123"/>
      <c r="MT5" s="123"/>
      <c r="MU5" s="123"/>
      <c r="MV5" s="123"/>
      <c r="MW5" s="123"/>
      <c r="MX5" s="123"/>
      <c r="MY5" s="123"/>
      <c r="MZ5" s="123"/>
      <c r="NA5" s="123"/>
      <c r="NB5" s="123"/>
      <c r="NC5" s="123"/>
      <c r="ND5" s="123"/>
      <c r="NE5" s="126"/>
      <c r="NF5" s="123"/>
    </row>
    <row r="6" spans="1:374" ht="15.75" x14ac:dyDescent="0.25">
      <c r="B6" s="12">
        <v>503</v>
      </c>
      <c r="C6" s="144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123"/>
      <c r="DS6" s="123"/>
      <c r="DT6" s="123"/>
      <c r="DU6" s="123"/>
      <c r="DV6" s="123"/>
      <c r="DW6" s="123"/>
      <c r="DX6" s="123"/>
      <c r="DY6" s="123"/>
      <c r="DZ6" s="123"/>
      <c r="EA6" s="123"/>
      <c r="EB6" s="123"/>
      <c r="EC6" s="123"/>
      <c r="ED6" s="123"/>
      <c r="EE6" s="123"/>
      <c r="EF6" s="123"/>
      <c r="EG6" s="123"/>
      <c r="EH6" s="123"/>
      <c r="EI6" s="123"/>
      <c r="EJ6" s="123"/>
      <c r="EK6" s="123"/>
      <c r="EL6" s="123"/>
      <c r="EM6" s="123"/>
      <c r="EN6" s="123"/>
      <c r="EO6" s="123"/>
      <c r="EP6" s="123"/>
      <c r="EQ6" s="123"/>
      <c r="ER6" s="123"/>
      <c r="ES6" s="123"/>
      <c r="ET6" s="123"/>
      <c r="EU6" s="123"/>
      <c r="EV6" s="123"/>
      <c r="EW6" s="123"/>
      <c r="EX6" s="123"/>
      <c r="EY6" s="123"/>
      <c r="EZ6" s="123"/>
      <c r="FA6" s="123"/>
      <c r="FB6" s="123"/>
      <c r="FC6" s="123"/>
      <c r="FD6" s="123"/>
      <c r="FE6" s="123"/>
      <c r="FF6" s="123"/>
      <c r="FG6" s="123"/>
      <c r="FH6" s="123"/>
      <c r="FI6" s="123"/>
      <c r="FJ6" s="123"/>
      <c r="FK6" s="123"/>
      <c r="FL6" s="123"/>
      <c r="FM6" s="123"/>
      <c r="FN6" s="123"/>
      <c r="FO6" s="123"/>
      <c r="FP6" s="123"/>
      <c r="FQ6" s="123"/>
      <c r="FR6" s="123"/>
      <c r="FS6" s="123"/>
      <c r="FT6" s="123"/>
      <c r="FU6" s="123"/>
      <c r="FV6" s="123"/>
      <c r="FW6" s="123"/>
      <c r="FX6" s="123"/>
      <c r="FY6" s="123"/>
      <c r="FZ6" s="123"/>
      <c r="GA6" s="123"/>
      <c r="GB6" s="123"/>
      <c r="GC6" s="123"/>
      <c r="GD6" s="123"/>
      <c r="GE6" s="123"/>
      <c r="GF6" s="123"/>
      <c r="GG6" s="123"/>
      <c r="GH6" s="123"/>
      <c r="GI6" s="123"/>
      <c r="GJ6" s="123"/>
      <c r="GK6" s="123"/>
      <c r="GL6" s="123"/>
      <c r="GM6" s="123"/>
      <c r="GN6" s="123"/>
      <c r="GO6" s="123"/>
      <c r="GP6" s="123"/>
      <c r="GQ6" s="123"/>
      <c r="GR6" s="123"/>
      <c r="GS6" s="123"/>
      <c r="GT6" s="123"/>
      <c r="GU6" s="123"/>
      <c r="GV6" s="123"/>
      <c r="GW6" s="123"/>
      <c r="GX6" s="123"/>
      <c r="GY6" s="123"/>
      <c r="GZ6" s="123"/>
      <c r="HA6" s="123"/>
      <c r="HB6" s="123"/>
      <c r="HC6" s="123"/>
      <c r="HD6" s="123"/>
      <c r="HE6" s="123"/>
      <c r="HF6" s="123"/>
      <c r="HG6" s="123"/>
      <c r="HH6" s="123"/>
      <c r="HI6" s="123"/>
      <c r="HJ6" s="123"/>
      <c r="HK6" s="123"/>
      <c r="HL6" s="123"/>
      <c r="HM6" s="123"/>
      <c r="HN6" s="123"/>
      <c r="HO6" s="123"/>
      <c r="HP6" s="123"/>
      <c r="HQ6" s="123"/>
      <c r="HR6" s="123"/>
      <c r="HS6" s="123"/>
      <c r="HT6" s="123"/>
      <c r="HU6" s="123"/>
      <c r="HV6" s="123"/>
      <c r="HW6" s="123"/>
      <c r="HX6" s="123"/>
      <c r="HY6" s="123"/>
      <c r="HZ6" s="123"/>
      <c r="IA6" s="123"/>
      <c r="IB6" s="123"/>
      <c r="IC6" s="123"/>
      <c r="ID6" s="123"/>
      <c r="IE6" s="123"/>
      <c r="IF6" s="123"/>
      <c r="IG6" s="123"/>
      <c r="IH6" s="123"/>
      <c r="II6" s="123"/>
      <c r="IJ6" s="123"/>
      <c r="IK6" s="123"/>
      <c r="IL6" s="123"/>
      <c r="IM6" s="123"/>
      <c r="IN6" s="123"/>
      <c r="IO6" s="123"/>
      <c r="IP6" s="123"/>
      <c r="IQ6" s="123"/>
      <c r="IR6" s="123"/>
      <c r="IS6" s="123"/>
      <c r="IT6" s="123"/>
      <c r="IU6" s="123"/>
      <c r="IV6" s="123"/>
      <c r="IW6" s="123"/>
      <c r="IX6" s="123"/>
      <c r="IY6" s="123"/>
      <c r="IZ6" s="123"/>
      <c r="JA6" s="123"/>
      <c r="JB6" s="123"/>
      <c r="JC6" s="123"/>
      <c r="JD6" s="123"/>
      <c r="JE6" s="123"/>
      <c r="JF6" s="123"/>
      <c r="JG6" s="123"/>
      <c r="JH6" s="123"/>
      <c r="JI6" s="123"/>
      <c r="JJ6" s="123"/>
      <c r="JK6" s="123"/>
      <c r="JL6" s="123"/>
      <c r="JM6" s="123"/>
      <c r="JN6" s="123"/>
      <c r="JO6" s="123"/>
      <c r="JP6" s="123"/>
      <c r="JQ6" s="123"/>
      <c r="JR6" s="123"/>
      <c r="JS6" s="123"/>
      <c r="JT6" s="123"/>
      <c r="JU6" s="123"/>
      <c r="JV6" s="123"/>
      <c r="JW6" s="123"/>
      <c r="JX6" s="123"/>
      <c r="JY6" s="123"/>
      <c r="JZ6" s="123"/>
      <c r="KA6" s="123"/>
      <c r="KB6" s="123"/>
      <c r="KC6" s="123"/>
      <c r="KD6" s="123"/>
      <c r="KE6" s="123"/>
      <c r="KF6" s="123"/>
      <c r="KG6" s="123"/>
      <c r="KH6" s="123"/>
      <c r="KI6" s="123"/>
      <c r="KJ6" s="123"/>
      <c r="KK6" s="123"/>
      <c r="KL6" s="123"/>
      <c r="KM6" s="123"/>
      <c r="KN6" s="123"/>
      <c r="KO6" s="123"/>
      <c r="KP6" s="123"/>
      <c r="KQ6" s="123"/>
      <c r="KR6" s="123"/>
      <c r="KS6" s="123"/>
      <c r="KT6" s="123"/>
      <c r="KU6" s="123"/>
      <c r="KV6" s="123"/>
      <c r="KW6" s="123"/>
      <c r="KX6" s="123"/>
      <c r="KY6" s="123"/>
      <c r="KZ6" s="123"/>
      <c r="LA6" s="123"/>
      <c r="LB6" s="123"/>
      <c r="LC6" s="123"/>
      <c r="LD6" s="123"/>
      <c r="LE6" s="123"/>
      <c r="LF6" s="123"/>
      <c r="LG6" s="123"/>
      <c r="LH6" s="123"/>
      <c r="LI6" s="123"/>
      <c r="LJ6" s="123"/>
      <c r="LK6" s="123"/>
      <c r="LL6" s="123"/>
      <c r="LM6" s="123"/>
      <c r="LN6" s="123"/>
      <c r="LO6" s="123"/>
      <c r="LP6" s="123"/>
      <c r="LQ6" s="123"/>
      <c r="LR6" s="123"/>
      <c r="LS6" s="123"/>
      <c r="LT6" s="123"/>
      <c r="LU6" s="123"/>
      <c r="LV6" s="123"/>
      <c r="LW6" s="123"/>
      <c r="LX6" s="123"/>
      <c r="LY6" s="123"/>
      <c r="LZ6" s="123"/>
      <c r="MA6" s="123"/>
      <c r="MB6" s="123"/>
      <c r="MC6" s="123"/>
      <c r="MD6" s="123"/>
      <c r="ME6" s="123"/>
      <c r="MF6" s="123"/>
      <c r="MG6" s="123"/>
      <c r="MH6" s="123"/>
      <c r="MI6" s="123"/>
      <c r="MJ6" s="123"/>
      <c r="MK6" s="123"/>
      <c r="ML6" s="123"/>
      <c r="MM6" s="123"/>
      <c r="MN6" s="123"/>
      <c r="MO6" s="123"/>
      <c r="MP6" s="123"/>
      <c r="MQ6" s="123"/>
      <c r="MR6" s="123"/>
      <c r="MS6" s="123"/>
      <c r="MT6" s="123"/>
      <c r="MU6" s="123"/>
      <c r="MV6" s="123"/>
      <c r="MW6" s="123"/>
      <c r="MX6" s="123"/>
      <c r="MY6" s="123"/>
      <c r="MZ6" s="123"/>
      <c r="NA6" s="123"/>
      <c r="NB6" s="123"/>
      <c r="NC6" s="123"/>
      <c r="ND6" s="123"/>
      <c r="NE6" s="126"/>
      <c r="NF6" s="123"/>
    </row>
    <row r="7" spans="1:374" ht="15.75" x14ac:dyDescent="0.25">
      <c r="B7" s="12">
        <v>504</v>
      </c>
      <c r="C7" s="144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3"/>
      <c r="AT7" s="123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3"/>
      <c r="BF7" s="123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3"/>
      <c r="BR7" s="123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3"/>
      <c r="CD7" s="123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3"/>
      <c r="CP7" s="123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3"/>
      <c r="DB7" s="123"/>
      <c r="DC7" s="123"/>
      <c r="DD7" s="123"/>
      <c r="DE7" s="123"/>
      <c r="DF7" s="123"/>
      <c r="DG7" s="123"/>
      <c r="DH7" s="123"/>
      <c r="DI7" s="123"/>
      <c r="DJ7" s="123"/>
      <c r="DK7" s="123"/>
      <c r="DL7" s="123"/>
      <c r="DM7" s="123"/>
      <c r="DN7" s="123"/>
      <c r="DO7" s="123"/>
      <c r="DP7" s="123"/>
      <c r="DQ7" s="123"/>
      <c r="DR7" s="123"/>
      <c r="DS7" s="123"/>
      <c r="DT7" s="123"/>
      <c r="DU7" s="123"/>
      <c r="DV7" s="123"/>
      <c r="DW7" s="123"/>
      <c r="DX7" s="123"/>
      <c r="DY7" s="123"/>
      <c r="DZ7" s="123"/>
      <c r="EA7" s="123"/>
      <c r="EB7" s="123"/>
      <c r="EC7" s="123"/>
      <c r="ED7" s="123"/>
      <c r="EE7" s="123"/>
      <c r="EF7" s="123"/>
      <c r="EG7" s="123"/>
      <c r="EH7" s="123"/>
      <c r="EI7" s="123"/>
      <c r="EJ7" s="123"/>
      <c r="EK7" s="123"/>
      <c r="EL7" s="123"/>
      <c r="EM7" s="123"/>
      <c r="EN7" s="123"/>
      <c r="EO7" s="123"/>
      <c r="EP7" s="123"/>
      <c r="EQ7" s="123"/>
      <c r="ER7" s="123"/>
      <c r="ES7" s="123"/>
      <c r="ET7" s="123"/>
      <c r="EU7" s="123"/>
      <c r="EV7" s="123"/>
      <c r="EW7" s="123"/>
      <c r="EX7" s="123"/>
      <c r="EY7" s="123"/>
      <c r="EZ7" s="123"/>
      <c r="FA7" s="123"/>
      <c r="FB7" s="123"/>
      <c r="FC7" s="123"/>
      <c r="FD7" s="123"/>
      <c r="FE7" s="123"/>
      <c r="FF7" s="123"/>
      <c r="FG7" s="123"/>
      <c r="FH7" s="123"/>
      <c r="FI7" s="123"/>
      <c r="FJ7" s="123"/>
      <c r="FK7" s="123"/>
      <c r="FL7" s="123"/>
      <c r="FM7" s="123"/>
      <c r="FN7" s="123"/>
      <c r="FO7" s="123"/>
      <c r="FP7" s="123"/>
      <c r="FQ7" s="123"/>
      <c r="FR7" s="123"/>
      <c r="FS7" s="123"/>
      <c r="FT7" s="123"/>
      <c r="FU7" s="123"/>
      <c r="FV7" s="123"/>
      <c r="FW7" s="123"/>
      <c r="FX7" s="123"/>
      <c r="FY7" s="123"/>
      <c r="FZ7" s="123"/>
      <c r="GA7" s="123"/>
      <c r="GB7" s="123"/>
      <c r="GC7" s="123"/>
      <c r="GD7" s="123"/>
      <c r="GE7" s="123"/>
      <c r="GF7" s="123"/>
      <c r="GG7" s="123"/>
      <c r="GH7" s="123"/>
      <c r="GI7" s="123"/>
      <c r="GJ7" s="123"/>
      <c r="GK7" s="123"/>
      <c r="GL7" s="123"/>
      <c r="GM7" s="123"/>
      <c r="GN7" s="123"/>
      <c r="GO7" s="123"/>
      <c r="GP7" s="123"/>
      <c r="GQ7" s="123"/>
      <c r="GR7" s="123"/>
      <c r="GS7" s="123"/>
      <c r="GT7" s="123"/>
      <c r="GU7" s="123"/>
      <c r="GV7" s="123"/>
      <c r="GW7" s="123"/>
      <c r="GX7" s="123"/>
      <c r="GY7" s="123"/>
      <c r="GZ7" s="123"/>
      <c r="HA7" s="123"/>
      <c r="HB7" s="123"/>
      <c r="HC7" s="123"/>
      <c r="HD7" s="123"/>
      <c r="HE7" s="123"/>
      <c r="HF7" s="123"/>
      <c r="HG7" s="123"/>
      <c r="HH7" s="123"/>
      <c r="HI7" s="123"/>
      <c r="HJ7" s="123"/>
      <c r="HK7" s="123"/>
      <c r="HL7" s="123"/>
      <c r="HM7" s="123"/>
      <c r="HN7" s="123"/>
      <c r="HO7" s="123"/>
      <c r="HP7" s="123"/>
      <c r="HQ7" s="123"/>
      <c r="HR7" s="123"/>
      <c r="HS7" s="123"/>
      <c r="HT7" s="123"/>
      <c r="HU7" s="123"/>
      <c r="HV7" s="123"/>
      <c r="HW7" s="123"/>
      <c r="HX7" s="123"/>
      <c r="HY7" s="123"/>
      <c r="HZ7" s="123"/>
      <c r="IA7" s="123"/>
      <c r="IB7" s="123"/>
      <c r="IC7" s="123"/>
      <c r="ID7" s="123"/>
      <c r="IE7" s="123"/>
      <c r="IF7" s="123"/>
      <c r="IG7" s="123"/>
      <c r="IH7" s="123"/>
      <c r="II7" s="123"/>
      <c r="IJ7" s="123"/>
      <c r="IK7" s="123"/>
      <c r="IL7" s="123"/>
      <c r="IM7" s="123"/>
      <c r="IN7" s="123"/>
      <c r="IO7" s="123"/>
      <c r="IP7" s="123"/>
      <c r="IQ7" s="123"/>
      <c r="IR7" s="123"/>
      <c r="IS7" s="123"/>
      <c r="IT7" s="123"/>
      <c r="IU7" s="123"/>
      <c r="IV7" s="123"/>
      <c r="IW7" s="123"/>
      <c r="IX7" s="123"/>
      <c r="IY7" s="123"/>
      <c r="IZ7" s="123"/>
      <c r="JA7" s="123"/>
      <c r="JB7" s="123"/>
      <c r="JC7" s="123"/>
      <c r="JD7" s="123"/>
      <c r="JE7" s="123"/>
      <c r="JF7" s="123"/>
      <c r="JG7" s="123"/>
      <c r="JH7" s="123"/>
      <c r="JI7" s="123"/>
      <c r="JJ7" s="123"/>
      <c r="JK7" s="123"/>
      <c r="JL7" s="123"/>
      <c r="JM7" s="123"/>
      <c r="JN7" s="123"/>
      <c r="JO7" s="123"/>
      <c r="JP7" s="123"/>
      <c r="JQ7" s="123"/>
      <c r="JR7" s="123"/>
      <c r="JS7" s="123"/>
      <c r="JT7" s="123"/>
      <c r="JU7" s="123"/>
      <c r="JV7" s="123"/>
      <c r="JW7" s="123"/>
      <c r="JX7" s="123"/>
      <c r="JY7" s="123"/>
      <c r="JZ7" s="123"/>
      <c r="KA7" s="123"/>
      <c r="KB7" s="123"/>
      <c r="KC7" s="123"/>
      <c r="KD7" s="123"/>
      <c r="KE7" s="123"/>
      <c r="KF7" s="123"/>
      <c r="KG7" s="123"/>
      <c r="KH7" s="123"/>
      <c r="KI7" s="123"/>
      <c r="KJ7" s="123"/>
      <c r="KK7" s="123"/>
      <c r="KL7" s="123"/>
      <c r="KM7" s="123"/>
      <c r="KN7" s="123"/>
      <c r="KO7" s="123"/>
      <c r="KP7" s="123"/>
      <c r="KQ7" s="123"/>
      <c r="KR7" s="123"/>
      <c r="KS7" s="123"/>
      <c r="KT7" s="123"/>
      <c r="KU7" s="123"/>
      <c r="KV7" s="123"/>
      <c r="KW7" s="123"/>
      <c r="KX7" s="123"/>
      <c r="KY7" s="123"/>
      <c r="KZ7" s="123"/>
      <c r="LA7" s="123"/>
      <c r="LB7" s="123"/>
      <c r="LC7" s="123"/>
      <c r="LD7" s="123"/>
      <c r="LE7" s="123"/>
      <c r="LF7" s="123"/>
      <c r="LG7" s="123"/>
      <c r="LH7" s="123"/>
      <c r="LI7" s="123"/>
      <c r="LJ7" s="123"/>
      <c r="LK7" s="123"/>
      <c r="LL7" s="123"/>
      <c r="LM7" s="123"/>
      <c r="LN7" s="123"/>
      <c r="LO7" s="123"/>
      <c r="LP7" s="123"/>
      <c r="LQ7" s="123"/>
      <c r="LR7" s="123"/>
      <c r="LS7" s="123"/>
      <c r="LT7" s="123"/>
      <c r="LU7" s="123"/>
      <c r="LV7" s="123"/>
      <c r="LW7" s="123"/>
      <c r="LX7" s="123"/>
      <c r="LY7" s="123"/>
      <c r="LZ7" s="123"/>
      <c r="MA7" s="123"/>
      <c r="MB7" s="123"/>
      <c r="MC7" s="123"/>
      <c r="MD7" s="123"/>
      <c r="ME7" s="123"/>
      <c r="MF7" s="123"/>
      <c r="MG7" s="123"/>
      <c r="MH7" s="123"/>
      <c r="MI7" s="123"/>
      <c r="MJ7" s="123"/>
      <c r="MK7" s="123"/>
      <c r="ML7" s="123"/>
      <c r="MM7" s="123"/>
      <c r="MN7" s="123"/>
      <c r="MO7" s="123"/>
      <c r="MP7" s="123"/>
      <c r="MQ7" s="123"/>
      <c r="MR7" s="123"/>
      <c r="MS7" s="123"/>
      <c r="MT7" s="123"/>
      <c r="MU7" s="123"/>
      <c r="MV7" s="123"/>
      <c r="MW7" s="123"/>
      <c r="MX7" s="123"/>
      <c r="MY7" s="123"/>
      <c r="MZ7" s="123"/>
      <c r="NA7" s="123"/>
      <c r="NB7" s="123"/>
      <c r="NC7" s="123"/>
      <c r="ND7" s="123"/>
      <c r="NE7" s="126"/>
      <c r="NF7" s="123"/>
    </row>
    <row r="8" spans="1:374" ht="15" customHeight="1" x14ac:dyDescent="0.25">
      <c r="B8" s="12">
        <v>505</v>
      </c>
      <c r="C8" s="144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3"/>
      <c r="GT8" s="123"/>
      <c r="GU8" s="123"/>
      <c r="GV8" s="123"/>
      <c r="GW8" s="123"/>
      <c r="GX8" s="123"/>
      <c r="GY8" s="123"/>
      <c r="GZ8" s="123"/>
      <c r="HA8" s="123"/>
      <c r="HB8" s="123"/>
      <c r="HC8" s="123"/>
      <c r="HD8" s="123"/>
      <c r="HE8" s="123"/>
      <c r="HF8" s="123"/>
      <c r="HG8" s="123"/>
      <c r="HH8" s="123"/>
      <c r="HI8" s="123"/>
      <c r="HJ8" s="123"/>
      <c r="HK8" s="123"/>
      <c r="HL8" s="123"/>
      <c r="HM8" s="123"/>
      <c r="HN8" s="123"/>
      <c r="HO8" s="123"/>
      <c r="HP8" s="123"/>
      <c r="HQ8" s="123"/>
      <c r="HR8" s="123"/>
      <c r="HS8" s="123"/>
      <c r="HT8" s="123"/>
      <c r="HU8" s="123"/>
      <c r="HV8" s="123"/>
      <c r="HW8" s="123"/>
      <c r="HX8" s="123"/>
      <c r="HY8" s="123"/>
      <c r="HZ8" s="123"/>
      <c r="IA8" s="123"/>
      <c r="IB8" s="123"/>
      <c r="IC8" s="123"/>
      <c r="ID8" s="123"/>
      <c r="IE8" s="123"/>
      <c r="IF8" s="123"/>
      <c r="IG8" s="123"/>
      <c r="IH8" s="123"/>
      <c r="II8" s="123"/>
      <c r="IJ8" s="123"/>
      <c r="IK8" s="123"/>
      <c r="IL8" s="123"/>
      <c r="IM8" s="123"/>
      <c r="IN8" s="123"/>
      <c r="IO8" s="123"/>
      <c r="IP8" s="123"/>
      <c r="IQ8" s="123"/>
      <c r="IR8" s="123"/>
      <c r="IS8" s="123"/>
      <c r="IT8" s="123"/>
      <c r="IU8" s="123"/>
      <c r="IV8" s="123"/>
      <c r="IW8" s="123"/>
      <c r="IX8" s="123"/>
      <c r="IY8" s="123"/>
      <c r="IZ8" s="123"/>
      <c r="JA8" s="123"/>
      <c r="JB8" s="123"/>
      <c r="JC8" s="123"/>
      <c r="JD8" s="123"/>
      <c r="JE8" s="123"/>
      <c r="JF8" s="123"/>
      <c r="JG8" s="123"/>
      <c r="JH8" s="123"/>
      <c r="JI8" s="123"/>
      <c r="JJ8" s="123"/>
      <c r="JK8" s="123"/>
      <c r="JL8" s="123"/>
      <c r="JM8" s="123"/>
      <c r="JN8" s="123"/>
      <c r="JO8" s="123"/>
      <c r="JP8" s="123"/>
      <c r="JQ8" s="123"/>
      <c r="JR8" s="123"/>
      <c r="JS8" s="123"/>
      <c r="JT8" s="123"/>
      <c r="JU8" s="123"/>
      <c r="JV8" s="123"/>
      <c r="JW8" s="123"/>
      <c r="JX8" s="123"/>
      <c r="JY8" s="123"/>
      <c r="JZ8" s="123"/>
      <c r="KA8" s="123"/>
      <c r="KB8" s="123"/>
      <c r="KC8" s="123"/>
      <c r="KD8" s="123"/>
      <c r="KE8" s="123"/>
      <c r="KF8" s="123"/>
      <c r="KG8" s="123"/>
      <c r="KH8" s="123"/>
      <c r="KI8" s="123"/>
      <c r="KJ8" s="123"/>
      <c r="KK8" s="123"/>
      <c r="KL8" s="123"/>
      <c r="KM8" s="123"/>
      <c r="KN8" s="123"/>
      <c r="KO8" s="123"/>
      <c r="KP8" s="123"/>
      <c r="KQ8" s="123"/>
      <c r="KR8" s="123"/>
      <c r="KS8" s="123"/>
      <c r="KT8" s="123"/>
      <c r="KU8" s="123"/>
      <c r="KV8" s="123"/>
      <c r="KW8" s="123"/>
      <c r="KX8" s="123"/>
      <c r="KY8" s="123"/>
      <c r="KZ8" s="123"/>
      <c r="LA8" s="123"/>
      <c r="LB8" s="123"/>
      <c r="LC8" s="123"/>
      <c r="LD8" s="123"/>
      <c r="LE8" s="123"/>
      <c r="LF8" s="123"/>
      <c r="LG8" s="123"/>
      <c r="LH8" s="123"/>
      <c r="LI8" s="123"/>
      <c r="LJ8" s="123"/>
      <c r="LK8" s="123"/>
      <c r="LL8" s="123"/>
      <c r="LM8" s="123"/>
      <c r="LN8" s="123"/>
      <c r="LO8" s="123"/>
      <c r="LP8" s="123"/>
      <c r="LQ8" s="123"/>
      <c r="LR8" s="123"/>
      <c r="LS8" s="123"/>
      <c r="LT8" s="123"/>
      <c r="LU8" s="123"/>
      <c r="LV8" s="123"/>
      <c r="LW8" s="123"/>
      <c r="LX8" s="123"/>
      <c r="LY8" s="123"/>
      <c r="LZ8" s="123"/>
      <c r="MA8" s="123"/>
      <c r="MB8" s="123"/>
      <c r="MC8" s="123"/>
      <c r="MD8" s="123"/>
      <c r="ME8" s="123"/>
      <c r="MF8" s="123"/>
      <c r="MG8" s="123"/>
      <c r="MH8" s="123"/>
      <c r="MI8" s="123"/>
      <c r="MJ8" s="123"/>
      <c r="MK8" s="123"/>
      <c r="ML8" s="123"/>
      <c r="MM8" s="123"/>
      <c r="MN8" s="123"/>
      <c r="MO8" s="123"/>
      <c r="MP8" s="123"/>
      <c r="MQ8" s="123"/>
      <c r="MR8" s="123"/>
      <c r="MS8" s="123"/>
      <c r="MT8" s="123"/>
      <c r="MU8" s="123"/>
      <c r="MV8" s="123"/>
      <c r="MW8" s="123"/>
      <c r="MX8" s="123"/>
      <c r="MY8" s="123"/>
      <c r="MZ8" s="123"/>
      <c r="NA8" s="123"/>
      <c r="NB8" s="123"/>
      <c r="NC8" s="123"/>
      <c r="ND8" s="123"/>
      <c r="NE8" s="126"/>
      <c r="NF8" s="123"/>
    </row>
    <row r="9" spans="1:374" ht="15.75" x14ac:dyDescent="0.25">
      <c r="B9" s="12">
        <v>506</v>
      </c>
      <c r="C9" s="144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  <c r="BW9" s="123"/>
      <c r="BX9" s="123"/>
      <c r="BY9" s="123"/>
      <c r="BZ9" s="123"/>
      <c r="CA9" s="123"/>
      <c r="CB9" s="123"/>
      <c r="CC9" s="123"/>
      <c r="CD9" s="123"/>
      <c r="CE9" s="123"/>
      <c r="CF9" s="123"/>
      <c r="CG9" s="123"/>
      <c r="CH9" s="123"/>
      <c r="CI9" s="123"/>
      <c r="CJ9" s="123"/>
      <c r="CK9" s="123"/>
      <c r="CL9" s="123"/>
      <c r="CM9" s="123"/>
      <c r="CN9" s="123"/>
      <c r="CO9" s="123"/>
      <c r="CP9" s="123"/>
      <c r="CQ9" s="123"/>
      <c r="CR9" s="123"/>
      <c r="CS9" s="123"/>
      <c r="CT9" s="123"/>
      <c r="CU9" s="123"/>
      <c r="CV9" s="123"/>
      <c r="CW9" s="123"/>
      <c r="CX9" s="123"/>
      <c r="CY9" s="123"/>
      <c r="CZ9" s="123"/>
      <c r="DA9" s="123"/>
      <c r="DB9" s="123"/>
      <c r="DC9" s="123"/>
      <c r="DD9" s="123"/>
      <c r="DE9" s="123"/>
      <c r="DF9" s="123"/>
      <c r="DG9" s="123"/>
      <c r="DH9" s="123"/>
      <c r="DI9" s="123"/>
      <c r="DJ9" s="123"/>
      <c r="DK9" s="123"/>
      <c r="DL9" s="123"/>
      <c r="DM9" s="123"/>
      <c r="DN9" s="123"/>
      <c r="DO9" s="123"/>
      <c r="DP9" s="123"/>
      <c r="DQ9" s="123"/>
      <c r="DR9" s="123"/>
      <c r="DS9" s="123"/>
      <c r="DT9" s="123"/>
      <c r="DU9" s="123"/>
      <c r="DV9" s="123"/>
      <c r="DW9" s="123"/>
      <c r="DX9" s="123"/>
      <c r="DY9" s="123"/>
      <c r="DZ9" s="123"/>
      <c r="EA9" s="123"/>
      <c r="EB9" s="123"/>
      <c r="EC9" s="123"/>
      <c r="ED9" s="123"/>
      <c r="EE9" s="123"/>
      <c r="EF9" s="123"/>
      <c r="EG9" s="123"/>
      <c r="EH9" s="123"/>
      <c r="EI9" s="123"/>
      <c r="EJ9" s="123"/>
      <c r="EK9" s="123"/>
      <c r="EL9" s="123"/>
      <c r="EM9" s="123"/>
      <c r="EN9" s="123"/>
      <c r="EO9" s="123"/>
      <c r="EP9" s="123"/>
      <c r="EQ9" s="123"/>
      <c r="ER9" s="123"/>
      <c r="ES9" s="123"/>
      <c r="ET9" s="123"/>
      <c r="EU9" s="123"/>
      <c r="EV9" s="123"/>
      <c r="EW9" s="123"/>
      <c r="EX9" s="123"/>
      <c r="EY9" s="123"/>
      <c r="EZ9" s="123"/>
      <c r="FA9" s="123"/>
      <c r="FB9" s="123"/>
      <c r="FC9" s="123"/>
      <c r="FD9" s="123"/>
      <c r="FE9" s="123"/>
      <c r="FF9" s="123"/>
      <c r="FG9" s="123"/>
      <c r="FH9" s="123"/>
      <c r="FI9" s="123"/>
      <c r="FJ9" s="123"/>
      <c r="FK9" s="123"/>
      <c r="FL9" s="123"/>
      <c r="FM9" s="123"/>
      <c r="FN9" s="123"/>
      <c r="FO9" s="123"/>
      <c r="FP9" s="123"/>
      <c r="FQ9" s="123"/>
      <c r="FR9" s="123"/>
      <c r="FS9" s="123"/>
      <c r="FT9" s="123"/>
      <c r="FU9" s="123"/>
      <c r="FV9" s="123"/>
      <c r="FW9" s="123"/>
      <c r="FX9" s="123"/>
      <c r="FY9" s="123"/>
      <c r="FZ9" s="123"/>
      <c r="GA9" s="123"/>
      <c r="GB9" s="123"/>
      <c r="GC9" s="123"/>
      <c r="GD9" s="123"/>
      <c r="GE9" s="123"/>
      <c r="GF9" s="123"/>
      <c r="GG9" s="123"/>
      <c r="GH9" s="123"/>
      <c r="GI9" s="123"/>
      <c r="GJ9" s="123"/>
      <c r="GK9" s="123"/>
      <c r="GL9" s="123"/>
      <c r="GM9" s="123"/>
      <c r="GN9" s="123"/>
      <c r="GO9" s="123"/>
      <c r="GP9" s="123"/>
      <c r="GQ9" s="123"/>
      <c r="GR9" s="123"/>
      <c r="GS9" s="123"/>
      <c r="GT9" s="123"/>
      <c r="GU9" s="123"/>
      <c r="GV9" s="123"/>
      <c r="GW9" s="123"/>
      <c r="GX9" s="123"/>
      <c r="GY9" s="123"/>
      <c r="GZ9" s="123"/>
      <c r="HA9" s="123"/>
      <c r="HB9" s="123"/>
      <c r="HC9" s="123"/>
      <c r="HD9" s="123"/>
      <c r="HE9" s="123"/>
      <c r="HF9" s="123"/>
      <c r="HG9" s="123"/>
      <c r="HH9" s="123"/>
      <c r="HI9" s="123"/>
      <c r="HJ9" s="123"/>
      <c r="HK9" s="123"/>
      <c r="HL9" s="123"/>
      <c r="HM9" s="123"/>
      <c r="HN9" s="123"/>
      <c r="HO9" s="123"/>
      <c r="HP9" s="123"/>
      <c r="HQ9" s="123"/>
      <c r="HR9" s="123"/>
      <c r="HS9" s="123"/>
      <c r="HT9" s="123"/>
      <c r="HU9" s="123"/>
      <c r="HV9" s="123"/>
      <c r="HW9" s="123"/>
      <c r="HX9" s="123"/>
      <c r="HY9" s="123"/>
      <c r="HZ9" s="123"/>
      <c r="IA9" s="123"/>
      <c r="IB9" s="123"/>
      <c r="IC9" s="123"/>
      <c r="ID9" s="123"/>
      <c r="IE9" s="123"/>
      <c r="IF9" s="123"/>
      <c r="IG9" s="123"/>
      <c r="IH9" s="123"/>
      <c r="II9" s="123"/>
      <c r="IJ9" s="123"/>
      <c r="IK9" s="123"/>
      <c r="IL9" s="123"/>
      <c r="IM9" s="123"/>
      <c r="IN9" s="123"/>
      <c r="IO9" s="123"/>
      <c r="IP9" s="123"/>
      <c r="IQ9" s="123"/>
      <c r="IR9" s="123"/>
      <c r="IS9" s="123"/>
      <c r="IT9" s="123"/>
      <c r="IU9" s="123"/>
      <c r="IV9" s="123"/>
      <c r="IW9" s="123"/>
      <c r="IX9" s="123"/>
      <c r="IY9" s="123"/>
      <c r="IZ9" s="123"/>
      <c r="JA9" s="123"/>
      <c r="JB9" s="123"/>
      <c r="JC9" s="123"/>
      <c r="JD9" s="123"/>
      <c r="JE9" s="123"/>
      <c r="JF9" s="123"/>
      <c r="JG9" s="123"/>
      <c r="JH9" s="123"/>
      <c r="JI9" s="123"/>
      <c r="JJ9" s="123"/>
      <c r="JK9" s="123"/>
      <c r="JL9" s="123"/>
      <c r="JM9" s="123"/>
      <c r="JN9" s="123"/>
      <c r="JO9" s="123"/>
      <c r="JP9" s="123"/>
      <c r="JQ9" s="123"/>
      <c r="JR9" s="123"/>
      <c r="JS9" s="123"/>
      <c r="JT9" s="123"/>
      <c r="JU9" s="123"/>
      <c r="JV9" s="123"/>
      <c r="JW9" s="123"/>
      <c r="JX9" s="123"/>
      <c r="JY9" s="123"/>
      <c r="JZ9" s="123"/>
      <c r="KA9" s="123"/>
      <c r="KB9" s="123"/>
      <c r="KC9" s="123"/>
      <c r="KD9" s="123"/>
      <c r="KE9" s="123"/>
      <c r="KF9" s="123"/>
      <c r="KG9" s="123"/>
      <c r="KH9" s="123"/>
      <c r="KI9" s="123"/>
      <c r="KJ9" s="123"/>
      <c r="KK9" s="123"/>
      <c r="KL9" s="123"/>
      <c r="KM9" s="123"/>
      <c r="KN9" s="123"/>
      <c r="KO9" s="123"/>
      <c r="KP9" s="123"/>
      <c r="KQ9" s="123"/>
      <c r="KR9" s="123"/>
      <c r="KS9" s="123"/>
      <c r="KT9" s="123"/>
      <c r="KU9" s="123"/>
      <c r="KV9" s="123"/>
      <c r="KW9" s="123"/>
      <c r="KX9" s="123"/>
      <c r="KY9" s="123"/>
      <c r="KZ9" s="123"/>
      <c r="LA9" s="123"/>
      <c r="LB9" s="123"/>
      <c r="LC9" s="123"/>
      <c r="LD9" s="123"/>
      <c r="LE9" s="123"/>
      <c r="LF9" s="123"/>
      <c r="LG9" s="123"/>
      <c r="LH9" s="123"/>
      <c r="LI9" s="123"/>
      <c r="LJ9" s="123"/>
      <c r="LK9" s="123"/>
      <c r="LL9" s="123"/>
      <c r="LM9" s="123"/>
      <c r="LN9" s="123"/>
      <c r="LO9" s="123"/>
      <c r="LP9" s="123"/>
      <c r="LQ9" s="123"/>
      <c r="LR9" s="123"/>
      <c r="LS9" s="123"/>
      <c r="LT9" s="123"/>
      <c r="LU9" s="123"/>
      <c r="LV9" s="123"/>
      <c r="LW9" s="123"/>
      <c r="LX9" s="123"/>
      <c r="LY9" s="123"/>
      <c r="LZ9" s="123"/>
      <c r="MA9" s="123"/>
      <c r="MB9" s="123"/>
      <c r="MC9" s="123"/>
      <c r="MD9" s="123"/>
      <c r="ME9" s="123"/>
      <c r="MF9" s="123"/>
      <c r="MG9" s="123"/>
      <c r="MH9" s="123"/>
      <c r="MI9" s="123"/>
      <c r="MJ9" s="123"/>
      <c r="MK9" s="123"/>
      <c r="ML9" s="123"/>
      <c r="MM9" s="123"/>
      <c r="MN9" s="123"/>
      <c r="MO9" s="123"/>
      <c r="MP9" s="123"/>
      <c r="MQ9" s="123"/>
      <c r="MR9" s="123"/>
      <c r="MS9" s="123"/>
      <c r="MT9" s="123"/>
      <c r="MU9" s="123"/>
      <c r="MV9" s="123"/>
      <c r="MW9" s="123"/>
      <c r="MX9" s="123"/>
      <c r="MY9" s="123"/>
      <c r="MZ9" s="123"/>
      <c r="NA9" s="123"/>
      <c r="NB9" s="123"/>
      <c r="NC9" s="123"/>
      <c r="ND9" s="123"/>
      <c r="NE9" s="126"/>
      <c r="NF9" s="123"/>
    </row>
    <row r="10" spans="1:374" ht="15.75" x14ac:dyDescent="0.25">
      <c r="B10" s="12">
        <v>507</v>
      </c>
      <c r="C10" s="144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  <c r="AS10" s="123"/>
      <c r="AT10" s="123"/>
      <c r="AU10" s="123"/>
      <c r="AV10" s="123"/>
      <c r="AW10" s="123"/>
      <c r="AX10" s="123"/>
      <c r="AY10" s="123"/>
      <c r="AZ10" s="123"/>
      <c r="BA10" s="123"/>
      <c r="BB10" s="123"/>
      <c r="BC10" s="123"/>
      <c r="BD10" s="123"/>
      <c r="BE10" s="123"/>
      <c r="BF10" s="123"/>
      <c r="BG10" s="123"/>
      <c r="BH10" s="123"/>
      <c r="BI10" s="123"/>
      <c r="BJ10" s="123"/>
      <c r="BK10" s="123"/>
      <c r="BL10" s="123"/>
      <c r="BM10" s="123"/>
      <c r="BN10" s="123"/>
      <c r="BO10" s="123"/>
      <c r="BP10" s="123"/>
      <c r="BQ10" s="123"/>
      <c r="BR10" s="123"/>
      <c r="BS10" s="123"/>
      <c r="BT10" s="123"/>
      <c r="BU10" s="123"/>
      <c r="BV10" s="123"/>
      <c r="BW10" s="123"/>
      <c r="BX10" s="123"/>
      <c r="BY10" s="123"/>
      <c r="BZ10" s="123"/>
      <c r="CA10" s="123"/>
      <c r="CB10" s="123"/>
      <c r="CC10" s="123"/>
      <c r="CD10" s="123"/>
      <c r="CE10" s="123"/>
      <c r="CF10" s="123"/>
      <c r="CG10" s="123"/>
      <c r="CH10" s="123"/>
      <c r="CI10" s="123"/>
      <c r="CJ10" s="123"/>
      <c r="CK10" s="123"/>
      <c r="CL10" s="123"/>
      <c r="CM10" s="123"/>
      <c r="CN10" s="123"/>
      <c r="CO10" s="123"/>
      <c r="CP10" s="123"/>
      <c r="CQ10" s="123"/>
      <c r="CR10" s="123"/>
      <c r="CS10" s="123"/>
      <c r="CT10" s="123"/>
      <c r="CU10" s="123"/>
      <c r="CV10" s="123"/>
      <c r="CW10" s="123"/>
      <c r="CX10" s="123"/>
      <c r="CY10" s="123"/>
      <c r="CZ10" s="123"/>
      <c r="DA10" s="123"/>
      <c r="DB10" s="123"/>
      <c r="DC10" s="123"/>
      <c r="DD10" s="123"/>
      <c r="DE10" s="123"/>
      <c r="DF10" s="123"/>
      <c r="DG10" s="123"/>
      <c r="DH10" s="123"/>
      <c r="DI10" s="123"/>
      <c r="DJ10" s="123"/>
      <c r="DK10" s="123"/>
      <c r="DL10" s="123"/>
      <c r="DM10" s="123"/>
      <c r="DN10" s="123"/>
      <c r="DO10" s="123"/>
      <c r="DP10" s="123"/>
      <c r="DQ10" s="123"/>
      <c r="DR10" s="123"/>
      <c r="DS10" s="123"/>
      <c r="DT10" s="123"/>
      <c r="DU10" s="123"/>
      <c r="DV10" s="123"/>
      <c r="DW10" s="123"/>
      <c r="DX10" s="123"/>
      <c r="DY10" s="123"/>
      <c r="DZ10" s="123"/>
      <c r="EA10" s="123"/>
      <c r="EB10" s="123"/>
      <c r="EC10" s="123"/>
      <c r="ED10" s="123"/>
      <c r="EE10" s="123"/>
      <c r="EF10" s="123"/>
      <c r="EG10" s="123"/>
      <c r="EH10" s="123"/>
      <c r="EI10" s="123"/>
      <c r="EJ10" s="123"/>
      <c r="EK10" s="123"/>
      <c r="EL10" s="123"/>
      <c r="EM10" s="123"/>
      <c r="EN10" s="123"/>
      <c r="EO10" s="123"/>
      <c r="EP10" s="123"/>
      <c r="EQ10" s="123"/>
      <c r="ER10" s="123"/>
      <c r="ES10" s="123"/>
      <c r="ET10" s="123"/>
      <c r="EU10" s="123"/>
      <c r="EV10" s="123"/>
      <c r="EW10" s="123"/>
      <c r="EX10" s="123"/>
      <c r="EY10" s="123"/>
      <c r="EZ10" s="123"/>
      <c r="FA10" s="123"/>
      <c r="FB10" s="123"/>
      <c r="FC10" s="123"/>
      <c r="FD10" s="123"/>
      <c r="FE10" s="123"/>
      <c r="FF10" s="123"/>
      <c r="FG10" s="123"/>
      <c r="FH10" s="123"/>
      <c r="FI10" s="123"/>
      <c r="FJ10" s="123"/>
      <c r="FK10" s="123"/>
      <c r="FL10" s="123"/>
      <c r="FM10" s="123"/>
      <c r="FN10" s="123"/>
      <c r="FO10" s="123"/>
      <c r="FP10" s="123"/>
      <c r="FQ10" s="123"/>
      <c r="FR10" s="123"/>
      <c r="FS10" s="123"/>
      <c r="FT10" s="123"/>
      <c r="FU10" s="123"/>
      <c r="FV10" s="123"/>
      <c r="FW10" s="123"/>
      <c r="FX10" s="123"/>
      <c r="FY10" s="123"/>
      <c r="FZ10" s="123"/>
      <c r="GA10" s="123"/>
      <c r="GB10" s="123"/>
      <c r="GC10" s="123"/>
      <c r="GD10" s="123"/>
      <c r="GE10" s="123"/>
      <c r="GF10" s="123"/>
      <c r="GG10" s="123"/>
      <c r="GH10" s="123"/>
      <c r="GI10" s="123"/>
      <c r="GJ10" s="123"/>
      <c r="GK10" s="123"/>
      <c r="GL10" s="123"/>
      <c r="GM10" s="123"/>
      <c r="GN10" s="123"/>
      <c r="GO10" s="123"/>
      <c r="GP10" s="123"/>
      <c r="GQ10" s="123"/>
      <c r="GR10" s="123"/>
      <c r="GS10" s="123"/>
      <c r="GT10" s="123"/>
      <c r="GU10" s="123"/>
      <c r="GV10" s="123"/>
      <c r="GW10" s="123"/>
      <c r="GX10" s="123"/>
      <c r="GY10" s="123"/>
      <c r="GZ10" s="123"/>
      <c r="HA10" s="123"/>
      <c r="HB10" s="123"/>
      <c r="HC10" s="123"/>
      <c r="HD10" s="123"/>
      <c r="HE10" s="123"/>
      <c r="HF10" s="123"/>
      <c r="HG10" s="123"/>
      <c r="HH10" s="123"/>
      <c r="HI10" s="123"/>
      <c r="HJ10" s="123"/>
      <c r="HK10" s="123"/>
      <c r="HL10" s="123"/>
      <c r="HM10" s="123"/>
      <c r="HN10" s="123"/>
      <c r="HO10" s="123"/>
      <c r="HP10" s="123"/>
      <c r="HQ10" s="123"/>
      <c r="HR10" s="123"/>
      <c r="HS10" s="123"/>
      <c r="HT10" s="123"/>
      <c r="HU10" s="123"/>
      <c r="HV10" s="123"/>
      <c r="HW10" s="123"/>
      <c r="HX10" s="123"/>
      <c r="HY10" s="123"/>
      <c r="HZ10" s="123"/>
      <c r="IA10" s="123"/>
      <c r="IB10" s="123"/>
      <c r="IC10" s="123"/>
      <c r="ID10" s="123"/>
      <c r="IE10" s="123"/>
      <c r="IF10" s="123"/>
      <c r="IG10" s="123"/>
      <c r="IH10" s="123"/>
      <c r="II10" s="123"/>
      <c r="IJ10" s="123"/>
      <c r="IK10" s="123"/>
      <c r="IL10" s="123"/>
      <c r="IM10" s="123"/>
      <c r="IN10" s="123"/>
      <c r="IO10" s="123"/>
      <c r="IP10" s="123"/>
      <c r="IQ10" s="123"/>
      <c r="IR10" s="123"/>
      <c r="IS10" s="123"/>
      <c r="IT10" s="123"/>
      <c r="IU10" s="123"/>
      <c r="IV10" s="123"/>
      <c r="IW10" s="123"/>
      <c r="IX10" s="123"/>
      <c r="IY10" s="123"/>
      <c r="IZ10" s="123"/>
      <c r="JA10" s="123"/>
      <c r="JB10" s="123"/>
      <c r="JC10" s="123"/>
      <c r="JD10" s="123"/>
      <c r="JE10" s="123"/>
      <c r="JF10" s="123"/>
      <c r="JG10" s="123"/>
      <c r="JH10" s="123"/>
      <c r="JI10" s="123"/>
      <c r="JJ10" s="123"/>
      <c r="JK10" s="123"/>
      <c r="JL10" s="123"/>
      <c r="JM10" s="123"/>
      <c r="JN10" s="123"/>
      <c r="JO10" s="123"/>
      <c r="JP10" s="123"/>
      <c r="JQ10" s="123"/>
      <c r="JR10" s="123"/>
      <c r="JS10" s="123"/>
      <c r="JT10" s="123"/>
      <c r="JU10" s="123"/>
      <c r="JV10" s="123"/>
      <c r="JW10" s="123"/>
      <c r="JX10" s="123"/>
      <c r="JY10" s="123"/>
      <c r="JZ10" s="123"/>
      <c r="KA10" s="123"/>
      <c r="KB10" s="123"/>
      <c r="KC10" s="123"/>
      <c r="KD10" s="123"/>
      <c r="KE10" s="123"/>
      <c r="KF10" s="123"/>
      <c r="KG10" s="123"/>
      <c r="KH10" s="123"/>
      <c r="KI10" s="123"/>
      <c r="KJ10" s="123"/>
      <c r="KK10" s="123"/>
      <c r="KL10" s="123"/>
      <c r="KM10" s="123"/>
      <c r="KN10" s="123"/>
      <c r="KO10" s="123"/>
      <c r="KP10" s="123"/>
      <c r="KQ10" s="123"/>
      <c r="KR10" s="123"/>
      <c r="KS10" s="123"/>
      <c r="KT10" s="123"/>
      <c r="KU10" s="123"/>
      <c r="KV10" s="123"/>
      <c r="KW10" s="123"/>
      <c r="KX10" s="123"/>
      <c r="KY10" s="123"/>
      <c r="KZ10" s="123"/>
      <c r="LA10" s="123"/>
      <c r="LB10" s="123"/>
      <c r="LC10" s="123"/>
      <c r="LD10" s="123"/>
      <c r="LE10" s="123"/>
      <c r="LF10" s="123"/>
      <c r="LG10" s="123"/>
      <c r="LH10" s="123"/>
      <c r="LI10" s="123"/>
      <c r="LJ10" s="123"/>
      <c r="LK10" s="123"/>
      <c r="LL10" s="123"/>
      <c r="LM10" s="123"/>
      <c r="LN10" s="123"/>
      <c r="LO10" s="123"/>
      <c r="LP10" s="123"/>
      <c r="LQ10" s="123"/>
      <c r="LR10" s="123"/>
      <c r="LS10" s="123"/>
      <c r="LT10" s="123"/>
      <c r="LU10" s="123"/>
      <c r="LV10" s="123"/>
      <c r="LW10" s="123"/>
      <c r="LX10" s="123"/>
      <c r="LY10" s="123"/>
      <c r="LZ10" s="123"/>
      <c r="MA10" s="123"/>
      <c r="MB10" s="123"/>
      <c r="MC10" s="123"/>
      <c r="MD10" s="123"/>
      <c r="ME10" s="123"/>
      <c r="MF10" s="123"/>
      <c r="MG10" s="123"/>
      <c r="MH10" s="123"/>
      <c r="MI10" s="123"/>
      <c r="MJ10" s="123"/>
      <c r="MK10" s="123"/>
      <c r="ML10" s="123"/>
      <c r="MM10" s="123"/>
      <c r="MN10" s="123"/>
      <c r="MO10" s="123"/>
      <c r="MP10" s="123"/>
      <c r="MQ10" s="123"/>
      <c r="MR10" s="123"/>
      <c r="MS10" s="123"/>
      <c r="MT10" s="123"/>
      <c r="MU10" s="123"/>
      <c r="MV10" s="123"/>
      <c r="MW10" s="123"/>
      <c r="MX10" s="123"/>
      <c r="MY10" s="123"/>
      <c r="MZ10" s="123"/>
      <c r="NA10" s="123"/>
      <c r="NB10" s="123"/>
      <c r="NC10" s="123"/>
      <c r="ND10" s="123"/>
      <c r="NE10" s="126"/>
      <c r="NF10" s="123"/>
    </row>
    <row r="11" spans="1:374" ht="15.75" x14ac:dyDescent="0.25">
      <c r="B11" s="12">
        <v>508</v>
      </c>
      <c r="C11" s="144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  <c r="BI11" s="123"/>
      <c r="BJ11" s="123"/>
      <c r="BK11" s="123"/>
      <c r="BL11" s="123"/>
      <c r="BM11" s="123"/>
      <c r="BN11" s="123"/>
      <c r="BO11" s="123"/>
      <c r="BP11" s="123"/>
      <c r="BQ11" s="123"/>
      <c r="BR11" s="123"/>
      <c r="BS11" s="123"/>
      <c r="BT11" s="123"/>
      <c r="BU11" s="123"/>
      <c r="BV11" s="123"/>
      <c r="BW11" s="123"/>
      <c r="BX11" s="123"/>
      <c r="BY11" s="123"/>
      <c r="BZ11" s="123"/>
      <c r="CA11" s="123"/>
      <c r="CB11" s="123"/>
      <c r="CC11" s="123"/>
      <c r="CD11" s="123"/>
      <c r="CE11" s="123"/>
      <c r="CF11" s="123"/>
      <c r="CG11" s="123"/>
      <c r="CH11" s="123"/>
      <c r="CI11" s="123"/>
      <c r="CJ11" s="123"/>
      <c r="CK11" s="123"/>
      <c r="CL11" s="123"/>
      <c r="CM11" s="123"/>
      <c r="CN11" s="123"/>
      <c r="CO11" s="123"/>
      <c r="CP11" s="123"/>
      <c r="CQ11" s="123"/>
      <c r="CR11" s="123"/>
      <c r="CS11" s="123"/>
      <c r="CT11" s="123"/>
      <c r="CU11" s="123"/>
      <c r="CV11" s="123"/>
      <c r="CW11" s="123"/>
      <c r="CX11" s="123"/>
      <c r="CY11" s="123"/>
      <c r="CZ11" s="123"/>
      <c r="DA11" s="123"/>
      <c r="DB11" s="123"/>
      <c r="DC11" s="123"/>
      <c r="DD11" s="123"/>
      <c r="DE11" s="123"/>
      <c r="DF11" s="123"/>
      <c r="DG11" s="123"/>
      <c r="DH11" s="123"/>
      <c r="DI11" s="123"/>
      <c r="DJ11" s="123"/>
      <c r="DK11" s="123"/>
      <c r="DL11" s="123"/>
      <c r="DM11" s="123"/>
      <c r="DN11" s="123"/>
      <c r="DO11" s="123"/>
      <c r="DP11" s="123"/>
      <c r="DQ11" s="123"/>
      <c r="DR11" s="123"/>
      <c r="DS11" s="123"/>
      <c r="DT11" s="123"/>
      <c r="DU11" s="123"/>
      <c r="DV11" s="123"/>
      <c r="DW11" s="123"/>
      <c r="DX11" s="123"/>
      <c r="DY11" s="123"/>
      <c r="DZ11" s="123"/>
      <c r="EA11" s="123"/>
      <c r="EB11" s="123"/>
      <c r="EC11" s="123"/>
      <c r="ED11" s="123"/>
      <c r="EE11" s="123"/>
      <c r="EF11" s="123"/>
      <c r="EG11" s="123"/>
      <c r="EH11" s="123"/>
      <c r="EI11" s="123"/>
      <c r="EJ11" s="123"/>
      <c r="EK11" s="123"/>
      <c r="EL11" s="123"/>
      <c r="EM11" s="123"/>
      <c r="EN11" s="123"/>
      <c r="EO11" s="123"/>
      <c r="EP11" s="123"/>
      <c r="EQ11" s="123"/>
      <c r="ER11" s="123"/>
      <c r="ES11" s="123"/>
      <c r="ET11" s="123"/>
      <c r="EU11" s="123"/>
      <c r="EV11" s="123"/>
      <c r="EW11" s="123"/>
      <c r="EX11" s="123"/>
      <c r="EY11" s="123"/>
      <c r="EZ11" s="123"/>
      <c r="FA11" s="123"/>
      <c r="FB11" s="123"/>
      <c r="FC11" s="123"/>
      <c r="FD11" s="123"/>
      <c r="FE11" s="123"/>
      <c r="FF11" s="123"/>
      <c r="FG11" s="123"/>
      <c r="FH11" s="123"/>
      <c r="FI11" s="123"/>
      <c r="FJ11" s="123"/>
      <c r="FK11" s="123"/>
      <c r="FL11" s="123"/>
      <c r="FM11" s="123"/>
      <c r="FN11" s="123"/>
      <c r="FO11" s="123"/>
      <c r="FP11" s="123"/>
      <c r="FQ11" s="123"/>
      <c r="FR11" s="123"/>
      <c r="FS11" s="123"/>
      <c r="FT11" s="123"/>
      <c r="FU11" s="123"/>
      <c r="FV11" s="123"/>
      <c r="FW11" s="123"/>
      <c r="FX11" s="123"/>
      <c r="FY11" s="123"/>
      <c r="FZ11" s="123"/>
      <c r="GA11" s="123"/>
      <c r="GB11" s="123"/>
      <c r="GC11" s="123"/>
      <c r="GD11" s="123"/>
      <c r="GE11" s="123"/>
      <c r="GF11" s="123"/>
      <c r="GG11" s="123"/>
      <c r="GH11" s="123"/>
      <c r="GI11" s="123"/>
      <c r="GJ11" s="123"/>
      <c r="GK11" s="123"/>
      <c r="GL11" s="123"/>
      <c r="GM11" s="123"/>
      <c r="GN11" s="123"/>
      <c r="GO11" s="123"/>
      <c r="GP11" s="123"/>
      <c r="GQ11" s="123"/>
      <c r="GR11" s="123"/>
      <c r="GS11" s="123"/>
      <c r="GT11" s="123"/>
      <c r="GU11" s="123"/>
      <c r="GV11" s="123"/>
      <c r="GW11" s="123"/>
      <c r="GX11" s="123"/>
      <c r="GY11" s="123"/>
      <c r="GZ11" s="123"/>
      <c r="HA11" s="123"/>
      <c r="HB11" s="123"/>
      <c r="HC11" s="123"/>
      <c r="HD11" s="123"/>
      <c r="HE11" s="123"/>
      <c r="HF11" s="123"/>
      <c r="HG11" s="123"/>
      <c r="HH11" s="123"/>
      <c r="HI11" s="123"/>
      <c r="HJ11" s="123"/>
      <c r="HK11" s="123"/>
      <c r="HL11" s="123"/>
      <c r="HM11" s="123"/>
      <c r="HN11" s="123"/>
      <c r="HO11" s="123"/>
      <c r="HP11" s="123"/>
      <c r="HQ11" s="123"/>
      <c r="HR11" s="123"/>
      <c r="HS11" s="123"/>
      <c r="HT11" s="123"/>
      <c r="HU11" s="123"/>
      <c r="HV11" s="123"/>
      <c r="HW11" s="123"/>
      <c r="HX11" s="123"/>
      <c r="HY11" s="123"/>
      <c r="HZ11" s="123"/>
      <c r="IA11" s="123"/>
      <c r="IB11" s="123"/>
      <c r="IC11" s="123"/>
      <c r="ID11" s="123"/>
      <c r="IE11" s="123"/>
      <c r="IF11" s="123"/>
      <c r="IG11" s="123"/>
      <c r="IH11" s="123"/>
      <c r="II11" s="123"/>
      <c r="IJ11" s="123"/>
      <c r="IK11" s="123"/>
      <c r="IL11" s="123"/>
      <c r="IM11" s="123"/>
      <c r="IN11" s="123"/>
      <c r="IO11" s="123"/>
      <c r="IP11" s="123"/>
      <c r="IQ11" s="123"/>
      <c r="IR11" s="123"/>
      <c r="IS11" s="123"/>
      <c r="IT11" s="123"/>
      <c r="IU11" s="123"/>
      <c r="IV11" s="123"/>
      <c r="IW11" s="123"/>
      <c r="IX11" s="123"/>
      <c r="IY11" s="123"/>
      <c r="IZ11" s="123"/>
      <c r="JA11" s="123"/>
      <c r="JB11" s="123"/>
      <c r="JC11" s="123"/>
      <c r="JD11" s="123"/>
      <c r="JE11" s="123"/>
      <c r="JF11" s="123"/>
      <c r="JG11" s="123"/>
      <c r="JH11" s="123"/>
      <c r="JI11" s="123"/>
      <c r="JJ11" s="123"/>
      <c r="JK11" s="123"/>
      <c r="JL11" s="123"/>
      <c r="JM11" s="123"/>
      <c r="JN11" s="123"/>
      <c r="JO11" s="123"/>
      <c r="JP11" s="123"/>
      <c r="JQ11" s="123"/>
      <c r="JR11" s="123"/>
      <c r="JS11" s="123"/>
      <c r="JT11" s="123"/>
      <c r="JU11" s="123"/>
      <c r="JV11" s="123"/>
      <c r="JW11" s="123"/>
      <c r="JX11" s="123"/>
      <c r="JY11" s="123"/>
      <c r="JZ11" s="123"/>
      <c r="KA11" s="123"/>
      <c r="KB11" s="123"/>
      <c r="KC11" s="123"/>
      <c r="KD11" s="123"/>
      <c r="KE11" s="123"/>
      <c r="KF11" s="123"/>
      <c r="KG11" s="123"/>
      <c r="KH11" s="123"/>
      <c r="KI11" s="123"/>
      <c r="KJ11" s="123"/>
      <c r="KK11" s="123"/>
      <c r="KL11" s="123"/>
      <c r="KM11" s="123"/>
      <c r="KN11" s="123"/>
      <c r="KO11" s="123"/>
      <c r="KP11" s="123"/>
      <c r="KQ11" s="123"/>
      <c r="KR11" s="123"/>
      <c r="KS11" s="123"/>
      <c r="KT11" s="123"/>
      <c r="KU11" s="123"/>
      <c r="KV11" s="123"/>
      <c r="KW11" s="123"/>
      <c r="KX11" s="123"/>
      <c r="KY11" s="123"/>
      <c r="KZ11" s="123"/>
      <c r="LA11" s="123"/>
      <c r="LB11" s="123"/>
      <c r="LC11" s="123"/>
      <c r="LD11" s="123"/>
      <c r="LE11" s="123"/>
      <c r="LF11" s="123"/>
      <c r="LG11" s="123"/>
      <c r="LH11" s="123"/>
      <c r="LI11" s="123"/>
      <c r="LJ11" s="123"/>
      <c r="LK11" s="123"/>
      <c r="LL11" s="123"/>
      <c r="LM11" s="123"/>
      <c r="LN11" s="123"/>
      <c r="LO11" s="123"/>
      <c r="LP11" s="123"/>
      <c r="LQ11" s="123"/>
      <c r="LR11" s="123"/>
      <c r="LS11" s="123"/>
      <c r="LT11" s="123"/>
      <c r="LU11" s="123"/>
      <c r="LV11" s="123"/>
      <c r="LW11" s="123"/>
      <c r="LX11" s="123"/>
      <c r="LY11" s="123"/>
      <c r="LZ11" s="123"/>
      <c r="MA11" s="123"/>
      <c r="MB11" s="123"/>
      <c r="MC11" s="123"/>
      <c r="MD11" s="123"/>
      <c r="ME11" s="123"/>
      <c r="MF11" s="123"/>
      <c r="MG11" s="123"/>
      <c r="MH11" s="123"/>
      <c r="MI11" s="123"/>
      <c r="MJ11" s="123"/>
      <c r="MK11" s="123"/>
      <c r="ML11" s="123"/>
      <c r="MM11" s="123"/>
      <c r="MN11" s="123"/>
      <c r="MO11" s="123"/>
      <c r="MP11" s="123"/>
      <c r="MQ11" s="123"/>
      <c r="MR11" s="123"/>
      <c r="MS11" s="123"/>
      <c r="MT11" s="123"/>
      <c r="MU11" s="123"/>
      <c r="MV11" s="123"/>
      <c r="MW11" s="123"/>
      <c r="MX11" s="123"/>
      <c r="MY11" s="123"/>
      <c r="MZ11" s="123"/>
      <c r="NA11" s="123"/>
      <c r="NB11" s="123"/>
      <c r="NC11" s="123"/>
      <c r="ND11" s="123"/>
      <c r="NE11" s="126"/>
      <c r="NF11" s="123"/>
    </row>
    <row r="12" spans="1:374" ht="15.75" x14ac:dyDescent="0.25">
      <c r="B12" s="12">
        <v>509</v>
      </c>
      <c r="C12" s="144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  <c r="AS12" s="123"/>
      <c r="AT12" s="123"/>
      <c r="AU12" s="123"/>
      <c r="AV12" s="123"/>
      <c r="AW12" s="123"/>
      <c r="AX12" s="123"/>
      <c r="AY12" s="123"/>
      <c r="AZ12" s="123"/>
      <c r="BA12" s="123"/>
      <c r="BB12" s="123"/>
      <c r="BC12" s="123"/>
      <c r="BD12" s="123"/>
      <c r="BE12" s="123"/>
      <c r="BF12" s="123"/>
      <c r="BG12" s="123"/>
      <c r="BH12" s="123"/>
      <c r="BI12" s="123"/>
      <c r="BJ12" s="123"/>
      <c r="BK12" s="123"/>
      <c r="BL12" s="123"/>
      <c r="BM12" s="123"/>
      <c r="BN12" s="123"/>
      <c r="BO12" s="123"/>
      <c r="BP12" s="123"/>
      <c r="BQ12" s="123"/>
      <c r="BR12" s="123"/>
      <c r="BS12" s="123"/>
      <c r="BT12" s="123"/>
      <c r="BU12" s="123"/>
      <c r="BV12" s="123"/>
      <c r="BW12" s="123"/>
      <c r="BX12" s="123"/>
      <c r="BY12" s="123"/>
      <c r="BZ12" s="123"/>
      <c r="CA12" s="123"/>
      <c r="CB12" s="123"/>
      <c r="CC12" s="123"/>
      <c r="CD12" s="123"/>
      <c r="CE12" s="123"/>
      <c r="CF12" s="123"/>
      <c r="CG12" s="123"/>
      <c r="CH12" s="123"/>
      <c r="CI12" s="123"/>
      <c r="CJ12" s="123"/>
      <c r="CK12" s="123"/>
      <c r="CL12" s="123"/>
      <c r="CM12" s="123"/>
      <c r="CN12" s="123"/>
      <c r="CO12" s="123"/>
      <c r="CP12" s="123"/>
      <c r="CQ12" s="123"/>
      <c r="CR12" s="123"/>
      <c r="CS12" s="123"/>
      <c r="CT12" s="123"/>
      <c r="CU12" s="123"/>
      <c r="CV12" s="123"/>
      <c r="CW12" s="123"/>
      <c r="CX12" s="123"/>
      <c r="CY12" s="123"/>
      <c r="CZ12" s="123"/>
      <c r="DA12" s="123"/>
      <c r="DB12" s="123"/>
      <c r="DC12" s="123"/>
      <c r="DD12" s="123"/>
      <c r="DE12" s="123"/>
      <c r="DF12" s="123"/>
      <c r="DG12" s="123"/>
      <c r="DH12" s="123"/>
      <c r="DI12" s="123"/>
      <c r="DJ12" s="123"/>
      <c r="DK12" s="123"/>
      <c r="DL12" s="123"/>
      <c r="DM12" s="123"/>
      <c r="DN12" s="123"/>
      <c r="DO12" s="123"/>
      <c r="DP12" s="123"/>
      <c r="DQ12" s="123"/>
      <c r="DR12" s="123"/>
      <c r="DS12" s="123"/>
      <c r="DT12" s="123"/>
      <c r="DU12" s="123"/>
      <c r="DV12" s="123"/>
      <c r="DW12" s="123"/>
      <c r="DX12" s="123"/>
      <c r="DY12" s="123"/>
      <c r="DZ12" s="123"/>
      <c r="EA12" s="123"/>
      <c r="EB12" s="123"/>
      <c r="EC12" s="123"/>
      <c r="ED12" s="123"/>
      <c r="EE12" s="123"/>
      <c r="EF12" s="123"/>
      <c r="EG12" s="123"/>
      <c r="EH12" s="123"/>
      <c r="EI12" s="123"/>
      <c r="EJ12" s="123"/>
      <c r="EK12" s="123"/>
      <c r="EL12" s="123"/>
      <c r="EM12" s="123"/>
      <c r="EN12" s="123"/>
      <c r="EO12" s="123"/>
      <c r="EP12" s="123"/>
      <c r="EQ12" s="123"/>
      <c r="ER12" s="123"/>
      <c r="ES12" s="123"/>
      <c r="ET12" s="123"/>
      <c r="EU12" s="123"/>
      <c r="EV12" s="123"/>
      <c r="EW12" s="123"/>
      <c r="EX12" s="123"/>
      <c r="EY12" s="123"/>
      <c r="EZ12" s="123"/>
      <c r="FA12" s="123"/>
      <c r="FB12" s="123"/>
      <c r="FC12" s="123"/>
      <c r="FD12" s="123"/>
      <c r="FE12" s="123"/>
      <c r="FF12" s="123"/>
      <c r="FG12" s="123"/>
      <c r="FH12" s="123"/>
      <c r="FI12" s="123"/>
      <c r="FJ12" s="123"/>
      <c r="FK12" s="123"/>
      <c r="FL12" s="123"/>
      <c r="FM12" s="123"/>
      <c r="FN12" s="123"/>
      <c r="FO12" s="123"/>
      <c r="FP12" s="123"/>
      <c r="FQ12" s="123"/>
      <c r="FR12" s="123"/>
      <c r="FS12" s="123"/>
      <c r="FT12" s="123"/>
      <c r="FU12" s="123"/>
      <c r="FV12" s="123"/>
      <c r="FW12" s="123"/>
      <c r="FX12" s="123"/>
      <c r="FY12" s="123"/>
      <c r="FZ12" s="123"/>
      <c r="GA12" s="123"/>
      <c r="GB12" s="123"/>
      <c r="GC12" s="123"/>
      <c r="GD12" s="123"/>
      <c r="GE12" s="123"/>
      <c r="GF12" s="123"/>
      <c r="GG12" s="123"/>
      <c r="GH12" s="123"/>
      <c r="GI12" s="123"/>
      <c r="GJ12" s="123"/>
      <c r="GK12" s="123"/>
      <c r="GL12" s="123"/>
      <c r="GM12" s="123"/>
      <c r="GN12" s="123"/>
      <c r="GO12" s="123"/>
      <c r="GP12" s="123"/>
      <c r="GQ12" s="123"/>
      <c r="GR12" s="123"/>
      <c r="GS12" s="123"/>
      <c r="GT12" s="123"/>
      <c r="GU12" s="123"/>
      <c r="GV12" s="123"/>
      <c r="GW12" s="123"/>
      <c r="GX12" s="123"/>
      <c r="GY12" s="123"/>
      <c r="GZ12" s="123"/>
      <c r="HA12" s="123"/>
      <c r="HB12" s="123"/>
      <c r="HC12" s="123"/>
      <c r="HD12" s="123"/>
      <c r="HE12" s="123"/>
      <c r="HF12" s="123"/>
      <c r="HG12" s="123"/>
      <c r="HH12" s="123"/>
      <c r="HI12" s="123"/>
      <c r="HJ12" s="123"/>
      <c r="HK12" s="123"/>
      <c r="HL12" s="123"/>
      <c r="HM12" s="123"/>
      <c r="HN12" s="123"/>
      <c r="HO12" s="123"/>
      <c r="HP12" s="123"/>
      <c r="HQ12" s="123"/>
      <c r="HR12" s="123"/>
      <c r="HS12" s="123"/>
      <c r="HT12" s="123"/>
      <c r="HU12" s="123"/>
      <c r="HV12" s="123"/>
      <c r="HW12" s="123"/>
      <c r="HX12" s="123"/>
      <c r="HY12" s="123"/>
      <c r="HZ12" s="123"/>
      <c r="IA12" s="123"/>
      <c r="IB12" s="123"/>
      <c r="IC12" s="123"/>
      <c r="ID12" s="123"/>
      <c r="IE12" s="123"/>
      <c r="IF12" s="123"/>
      <c r="IG12" s="123"/>
      <c r="IH12" s="123"/>
      <c r="II12" s="123"/>
      <c r="IJ12" s="123"/>
      <c r="IK12" s="123"/>
      <c r="IL12" s="123"/>
      <c r="IM12" s="123"/>
      <c r="IN12" s="123"/>
      <c r="IO12" s="123"/>
      <c r="IP12" s="123"/>
      <c r="IQ12" s="123"/>
      <c r="IR12" s="123"/>
      <c r="IS12" s="123"/>
      <c r="IT12" s="123"/>
      <c r="IU12" s="123"/>
      <c r="IV12" s="123"/>
      <c r="IW12" s="123"/>
      <c r="IX12" s="123"/>
      <c r="IY12" s="123"/>
      <c r="IZ12" s="123"/>
      <c r="JA12" s="123"/>
      <c r="JB12" s="123"/>
      <c r="JC12" s="123"/>
      <c r="JD12" s="123"/>
      <c r="JE12" s="123"/>
      <c r="JF12" s="123"/>
      <c r="JG12" s="123"/>
      <c r="JH12" s="123"/>
      <c r="JI12" s="123"/>
      <c r="JJ12" s="123"/>
      <c r="JK12" s="123"/>
      <c r="JL12" s="123"/>
      <c r="JM12" s="123"/>
      <c r="JN12" s="123"/>
      <c r="JO12" s="123"/>
      <c r="JP12" s="123"/>
      <c r="JQ12" s="123"/>
      <c r="JR12" s="123"/>
      <c r="JS12" s="123"/>
      <c r="JT12" s="123"/>
      <c r="JU12" s="123"/>
      <c r="JV12" s="123"/>
      <c r="JW12" s="123"/>
      <c r="JX12" s="123"/>
      <c r="JY12" s="123"/>
      <c r="JZ12" s="123"/>
      <c r="KA12" s="123"/>
      <c r="KB12" s="123"/>
      <c r="KC12" s="123"/>
      <c r="KD12" s="123"/>
      <c r="KE12" s="123"/>
      <c r="KF12" s="123"/>
      <c r="KG12" s="123"/>
      <c r="KH12" s="123"/>
      <c r="KI12" s="123"/>
      <c r="KJ12" s="123"/>
      <c r="KK12" s="123"/>
      <c r="KL12" s="123"/>
      <c r="KM12" s="123"/>
      <c r="KN12" s="123"/>
      <c r="KO12" s="123"/>
      <c r="KP12" s="123"/>
      <c r="KQ12" s="123"/>
      <c r="KR12" s="123"/>
      <c r="KS12" s="123"/>
      <c r="KT12" s="123"/>
      <c r="KU12" s="123"/>
      <c r="KV12" s="123"/>
      <c r="KW12" s="123"/>
      <c r="KX12" s="123"/>
      <c r="KY12" s="123"/>
      <c r="KZ12" s="123"/>
      <c r="LA12" s="123"/>
      <c r="LB12" s="123"/>
      <c r="LC12" s="123"/>
      <c r="LD12" s="123"/>
      <c r="LE12" s="123"/>
      <c r="LF12" s="123"/>
      <c r="LG12" s="123"/>
      <c r="LH12" s="123"/>
      <c r="LI12" s="123"/>
      <c r="LJ12" s="123"/>
      <c r="LK12" s="123"/>
      <c r="LL12" s="123"/>
      <c r="LM12" s="123"/>
      <c r="LN12" s="123"/>
      <c r="LO12" s="123"/>
      <c r="LP12" s="123"/>
      <c r="LQ12" s="123"/>
      <c r="LR12" s="123"/>
      <c r="LS12" s="123"/>
      <c r="LT12" s="123"/>
      <c r="LU12" s="123"/>
      <c r="LV12" s="123"/>
      <c r="LW12" s="123"/>
      <c r="LX12" s="123"/>
      <c r="LY12" s="123"/>
      <c r="LZ12" s="123"/>
      <c r="MA12" s="123"/>
      <c r="MB12" s="123"/>
      <c r="MC12" s="123"/>
      <c r="MD12" s="123"/>
      <c r="ME12" s="123"/>
      <c r="MF12" s="123"/>
      <c r="MG12" s="123"/>
      <c r="MH12" s="123"/>
      <c r="MI12" s="123"/>
      <c r="MJ12" s="123"/>
      <c r="MK12" s="123"/>
      <c r="ML12" s="123"/>
      <c r="MM12" s="123"/>
      <c r="MN12" s="123"/>
      <c r="MO12" s="123"/>
      <c r="MP12" s="123"/>
      <c r="MQ12" s="123"/>
      <c r="MR12" s="123"/>
      <c r="MS12" s="123"/>
      <c r="MT12" s="123"/>
      <c r="MU12" s="123"/>
      <c r="MV12" s="123"/>
      <c r="MW12" s="123"/>
      <c r="MX12" s="123"/>
      <c r="MY12" s="123"/>
      <c r="MZ12" s="123"/>
      <c r="NA12" s="123"/>
      <c r="NB12" s="123"/>
      <c r="NC12" s="123"/>
      <c r="ND12" s="123"/>
      <c r="NE12" s="126"/>
      <c r="NF12" s="123"/>
    </row>
    <row r="13" spans="1:374" ht="15.75" x14ac:dyDescent="0.25">
      <c r="B13" s="12">
        <v>510</v>
      </c>
      <c r="C13" s="144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3"/>
      <c r="DO13" s="123"/>
      <c r="DP13" s="123"/>
      <c r="DQ13" s="123"/>
      <c r="DR13" s="123"/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123"/>
      <c r="EF13" s="123"/>
      <c r="EG13" s="123"/>
      <c r="EH13" s="123"/>
      <c r="EI13" s="123"/>
      <c r="EJ13" s="123"/>
      <c r="EK13" s="123"/>
      <c r="EL13" s="123"/>
      <c r="EM13" s="123"/>
      <c r="EN13" s="123"/>
      <c r="EO13" s="123"/>
      <c r="EP13" s="123"/>
      <c r="EQ13" s="123"/>
      <c r="ER13" s="123"/>
      <c r="ES13" s="123"/>
      <c r="ET13" s="123"/>
      <c r="EU13" s="123"/>
      <c r="EV13" s="123"/>
      <c r="EW13" s="123"/>
      <c r="EX13" s="123"/>
      <c r="EY13" s="123"/>
      <c r="EZ13" s="123"/>
      <c r="FA13" s="123"/>
      <c r="FB13" s="123"/>
      <c r="FC13" s="123"/>
      <c r="FD13" s="123"/>
      <c r="FE13" s="123"/>
      <c r="FF13" s="123"/>
      <c r="FG13" s="123"/>
      <c r="FH13" s="123"/>
      <c r="FI13" s="123"/>
      <c r="FJ13" s="123"/>
      <c r="FK13" s="123"/>
      <c r="FL13" s="123"/>
      <c r="FM13" s="123"/>
      <c r="FN13" s="123"/>
      <c r="FO13" s="123"/>
      <c r="FP13" s="123"/>
      <c r="FQ13" s="123"/>
      <c r="FR13" s="123"/>
      <c r="FS13" s="123"/>
      <c r="FT13" s="123"/>
      <c r="FU13" s="123"/>
      <c r="FV13" s="123"/>
      <c r="FW13" s="123"/>
      <c r="FX13" s="123"/>
      <c r="FY13" s="123"/>
      <c r="FZ13" s="123"/>
      <c r="GA13" s="123"/>
      <c r="GB13" s="123"/>
      <c r="GC13" s="123"/>
      <c r="GD13" s="123"/>
      <c r="GE13" s="123"/>
      <c r="GF13" s="123"/>
      <c r="GG13" s="123"/>
      <c r="GH13" s="123"/>
      <c r="GI13" s="123"/>
      <c r="GJ13" s="123"/>
      <c r="GK13" s="123"/>
      <c r="GL13" s="123"/>
      <c r="GM13" s="123"/>
      <c r="GN13" s="123"/>
      <c r="GO13" s="123"/>
      <c r="GP13" s="123"/>
      <c r="GQ13" s="123"/>
      <c r="GR13" s="123"/>
      <c r="GS13" s="123"/>
      <c r="GT13" s="123"/>
      <c r="GU13" s="123"/>
      <c r="GV13" s="123"/>
      <c r="GW13" s="123"/>
      <c r="GX13" s="123"/>
      <c r="GY13" s="123"/>
      <c r="GZ13" s="123"/>
      <c r="HA13" s="123"/>
      <c r="HB13" s="123"/>
      <c r="HC13" s="123"/>
      <c r="HD13" s="123"/>
      <c r="HE13" s="123"/>
      <c r="HF13" s="123"/>
      <c r="HG13" s="123"/>
      <c r="HH13" s="123"/>
      <c r="HI13" s="123"/>
      <c r="HJ13" s="123"/>
      <c r="HK13" s="123"/>
      <c r="HL13" s="123"/>
      <c r="HM13" s="123"/>
      <c r="HN13" s="123"/>
      <c r="HO13" s="123"/>
      <c r="HP13" s="123"/>
      <c r="HQ13" s="123"/>
      <c r="HR13" s="123"/>
      <c r="HS13" s="123"/>
      <c r="HT13" s="123"/>
      <c r="HU13" s="123"/>
      <c r="HV13" s="123"/>
      <c r="HW13" s="123"/>
      <c r="HX13" s="123"/>
      <c r="HY13" s="123"/>
      <c r="HZ13" s="123"/>
      <c r="IA13" s="123"/>
      <c r="IB13" s="123"/>
      <c r="IC13" s="123"/>
      <c r="ID13" s="123"/>
      <c r="IE13" s="123"/>
      <c r="IF13" s="123"/>
      <c r="IG13" s="123"/>
      <c r="IH13" s="123"/>
      <c r="II13" s="123"/>
      <c r="IJ13" s="123"/>
      <c r="IK13" s="123"/>
      <c r="IL13" s="123"/>
      <c r="IM13" s="123"/>
      <c r="IN13" s="123"/>
      <c r="IO13" s="123"/>
      <c r="IP13" s="123"/>
      <c r="IQ13" s="123"/>
      <c r="IR13" s="123"/>
      <c r="IS13" s="123"/>
      <c r="IT13" s="123"/>
      <c r="IU13" s="123"/>
      <c r="IV13" s="123"/>
      <c r="IW13" s="123"/>
      <c r="IX13" s="123"/>
      <c r="IY13" s="123"/>
      <c r="IZ13" s="123"/>
      <c r="JA13" s="123"/>
      <c r="JB13" s="123"/>
      <c r="JC13" s="123"/>
      <c r="JD13" s="123"/>
      <c r="JE13" s="123"/>
      <c r="JF13" s="123"/>
      <c r="JG13" s="123"/>
      <c r="JH13" s="123"/>
      <c r="JI13" s="123"/>
      <c r="JJ13" s="123"/>
      <c r="JK13" s="123"/>
      <c r="JL13" s="123"/>
      <c r="JM13" s="123"/>
      <c r="JN13" s="123"/>
      <c r="JO13" s="123"/>
      <c r="JP13" s="123"/>
      <c r="JQ13" s="123"/>
      <c r="JR13" s="123"/>
      <c r="JS13" s="123"/>
      <c r="JT13" s="123"/>
      <c r="JU13" s="123"/>
      <c r="JV13" s="123"/>
      <c r="JW13" s="123"/>
      <c r="JX13" s="123"/>
      <c r="JY13" s="123"/>
      <c r="JZ13" s="123"/>
      <c r="KA13" s="123"/>
      <c r="KB13" s="123"/>
      <c r="KC13" s="123"/>
      <c r="KD13" s="123"/>
      <c r="KE13" s="123"/>
      <c r="KF13" s="123"/>
      <c r="KG13" s="123"/>
      <c r="KH13" s="123"/>
      <c r="KI13" s="123"/>
      <c r="KJ13" s="123"/>
      <c r="KK13" s="123"/>
      <c r="KL13" s="123"/>
      <c r="KM13" s="123"/>
      <c r="KN13" s="123"/>
      <c r="KO13" s="123"/>
      <c r="KP13" s="123"/>
      <c r="KQ13" s="123"/>
      <c r="KR13" s="123"/>
      <c r="KS13" s="123"/>
      <c r="KT13" s="123"/>
      <c r="KU13" s="123"/>
      <c r="KV13" s="123"/>
      <c r="KW13" s="123"/>
      <c r="KX13" s="123"/>
      <c r="KY13" s="123"/>
      <c r="KZ13" s="123"/>
      <c r="LA13" s="123"/>
      <c r="LB13" s="123"/>
      <c r="LC13" s="123"/>
      <c r="LD13" s="123"/>
      <c r="LE13" s="123"/>
      <c r="LF13" s="123"/>
      <c r="LG13" s="123"/>
      <c r="LH13" s="123"/>
      <c r="LI13" s="123"/>
      <c r="LJ13" s="123"/>
      <c r="LK13" s="123"/>
      <c r="LL13" s="123"/>
      <c r="LM13" s="123"/>
      <c r="LN13" s="123"/>
      <c r="LO13" s="123"/>
      <c r="LP13" s="123"/>
      <c r="LQ13" s="123"/>
      <c r="LR13" s="123"/>
      <c r="LS13" s="123"/>
      <c r="LT13" s="123"/>
      <c r="LU13" s="123"/>
      <c r="LV13" s="123"/>
      <c r="LW13" s="123"/>
      <c r="LX13" s="123"/>
      <c r="LY13" s="123"/>
      <c r="LZ13" s="123"/>
      <c r="MA13" s="123"/>
      <c r="MB13" s="123"/>
      <c r="MC13" s="123"/>
      <c r="MD13" s="123"/>
      <c r="ME13" s="123"/>
      <c r="MF13" s="123"/>
      <c r="MG13" s="123"/>
      <c r="MH13" s="123"/>
      <c r="MI13" s="123"/>
      <c r="MJ13" s="123"/>
      <c r="MK13" s="123"/>
      <c r="ML13" s="123"/>
      <c r="MM13" s="123"/>
      <c r="MN13" s="123"/>
      <c r="MO13" s="123"/>
      <c r="MP13" s="123"/>
      <c r="MQ13" s="123"/>
      <c r="MR13" s="123"/>
      <c r="MS13" s="123"/>
      <c r="MT13" s="123"/>
      <c r="MU13" s="123"/>
      <c r="MV13" s="123"/>
      <c r="MW13" s="123"/>
      <c r="MX13" s="123"/>
      <c r="MY13" s="123"/>
      <c r="MZ13" s="123"/>
      <c r="NA13" s="123"/>
      <c r="NB13" s="123"/>
      <c r="NC13" s="123"/>
      <c r="ND13" s="123"/>
      <c r="NE13" s="126"/>
      <c r="NF13" s="123"/>
    </row>
    <row r="14" spans="1:374" ht="15.75" x14ac:dyDescent="0.25">
      <c r="B14" s="12">
        <v>511</v>
      </c>
      <c r="C14" s="144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  <c r="AS14" s="123"/>
      <c r="AT14" s="123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3"/>
      <c r="BG14" s="123"/>
      <c r="BH14" s="123"/>
      <c r="BI14" s="123"/>
      <c r="BJ14" s="123"/>
      <c r="BK14" s="123"/>
      <c r="BL14" s="123"/>
      <c r="BM14" s="123"/>
      <c r="BN14" s="123"/>
      <c r="BO14" s="123"/>
      <c r="BP14" s="123"/>
      <c r="BQ14" s="123"/>
      <c r="BR14" s="123"/>
      <c r="BS14" s="123"/>
      <c r="BT14" s="123"/>
      <c r="BU14" s="123"/>
      <c r="BV14" s="123"/>
      <c r="BW14" s="123"/>
      <c r="BX14" s="123"/>
      <c r="BY14" s="123"/>
      <c r="BZ14" s="123"/>
      <c r="CA14" s="123"/>
      <c r="CB14" s="123"/>
      <c r="CC14" s="123"/>
      <c r="CD14" s="123"/>
      <c r="CE14" s="123"/>
      <c r="CF14" s="123"/>
      <c r="CG14" s="123"/>
      <c r="CH14" s="123"/>
      <c r="CI14" s="123"/>
      <c r="CJ14" s="123"/>
      <c r="CK14" s="123"/>
      <c r="CL14" s="123"/>
      <c r="CM14" s="123"/>
      <c r="CN14" s="123"/>
      <c r="CO14" s="123"/>
      <c r="CP14" s="123"/>
      <c r="CQ14" s="123"/>
      <c r="CR14" s="123"/>
      <c r="CS14" s="123"/>
      <c r="CT14" s="123"/>
      <c r="CU14" s="123"/>
      <c r="CV14" s="123"/>
      <c r="CW14" s="123"/>
      <c r="CX14" s="123"/>
      <c r="CY14" s="123"/>
      <c r="CZ14" s="123"/>
      <c r="DA14" s="123"/>
      <c r="DB14" s="123"/>
      <c r="DC14" s="123"/>
      <c r="DD14" s="123"/>
      <c r="DE14" s="123"/>
      <c r="DF14" s="123"/>
      <c r="DG14" s="123"/>
      <c r="DH14" s="123"/>
      <c r="DI14" s="123"/>
      <c r="DJ14" s="123"/>
      <c r="DK14" s="123"/>
      <c r="DL14" s="123"/>
      <c r="DM14" s="123"/>
      <c r="DN14" s="123"/>
      <c r="DO14" s="123"/>
      <c r="DP14" s="123"/>
      <c r="DQ14" s="123"/>
      <c r="DR14" s="123"/>
      <c r="DS14" s="123"/>
      <c r="DT14" s="123"/>
      <c r="DU14" s="123"/>
      <c r="DV14" s="123"/>
      <c r="DW14" s="123"/>
      <c r="DX14" s="123"/>
      <c r="DY14" s="123"/>
      <c r="DZ14" s="123"/>
      <c r="EA14" s="123"/>
      <c r="EB14" s="123"/>
      <c r="EC14" s="123"/>
      <c r="ED14" s="123"/>
      <c r="EE14" s="123"/>
      <c r="EF14" s="123"/>
      <c r="EG14" s="123"/>
      <c r="EH14" s="123"/>
      <c r="EI14" s="123"/>
      <c r="EJ14" s="123"/>
      <c r="EK14" s="123"/>
      <c r="EL14" s="123"/>
      <c r="EM14" s="123"/>
      <c r="EN14" s="123"/>
      <c r="EO14" s="123"/>
      <c r="EP14" s="123"/>
      <c r="EQ14" s="123"/>
      <c r="ER14" s="123"/>
      <c r="ES14" s="123"/>
      <c r="ET14" s="123"/>
      <c r="EU14" s="123"/>
      <c r="EV14" s="123"/>
      <c r="EW14" s="123"/>
      <c r="EX14" s="123"/>
      <c r="EY14" s="123"/>
      <c r="EZ14" s="123"/>
      <c r="FA14" s="123"/>
      <c r="FB14" s="123"/>
      <c r="FC14" s="123"/>
      <c r="FD14" s="123"/>
      <c r="FE14" s="123"/>
      <c r="FF14" s="123"/>
      <c r="FG14" s="123"/>
      <c r="FH14" s="123"/>
      <c r="FI14" s="123"/>
      <c r="FJ14" s="123"/>
      <c r="FK14" s="123"/>
      <c r="FL14" s="123"/>
      <c r="FM14" s="123"/>
      <c r="FN14" s="123"/>
      <c r="FO14" s="123"/>
      <c r="FP14" s="123"/>
      <c r="FQ14" s="123"/>
      <c r="FR14" s="123"/>
      <c r="FS14" s="123"/>
      <c r="FT14" s="123"/>
      <c r="FU14" s="123"/>
      <c r="FV14" s="123"/>
      <c r="FW14" s="123"/>
      <c r="FX14" s="123"/>
      <c r="FY14" s="123"/>
      <c r="FZ14" s="123"/>
      <c r="GA14" s="123"/>
      <c r="GB14" s="123"/>
      <c r="GC14" s="123"/>
      <c r="GD14" s="123"/>
      <c r="GE14" s="123"/>
      <c r="GF14" s="123"/>
      <c r="GG14" s="123"/>
      <c r="GH14" s="123"/>
      <c r="GI14" s="123"/>
      <c r="GJ14" s="123"/>
      <c r="GK14" s="123"/>
      <c r="GL14" s="123"/>
      <c r="GM14" s="123"/>
      <c r="GN14" s="123"/>
      <c r="GO14" s="123"/>
      <c r="GP14" s="123"/>
      <c r="GQ14" s="123"/>
      <c r="GR14" s="123"/>
      <c r="GS14" s="123"/>
      <c r="GT14" s="123"/>
      <c r="GU14" s="123"/>
      <c r="GV14" s="123"/>
      <c r="GW14" s="123"/>
      <c r="GX14" s="123"/>
      <c r="GY14" s="123"/>
      <c r="GZ14" s="123"/>
      <c r="HA14" s="123"/>
      <c r="HB14" s="123"/>
      <c r="HC14" s="123"/>
      <c r="HD14" s="123"/>
      <c r="HE14" s="123"/>
      <c r="HF14" s="123"/>
      <c r="HG14" s="123"/>
      <c r="HH14" s="123"/>
      <c r="HI14" s="123"/>
      <c r="HJ14" s="123"/>
      <c r="HK14" s="123"/>
      <c r="HL14" s="123"/>
      <c r="HM14" s="123"/>
      <c r="HN14" s="123"/>
      <c r="HO14" s="123"/>
      <c r="HP14" s="123"/>
      <c r="HQ14" s="123"/>
      <c r="HR14" s="123"/>
      <c r="HS14" s="123"/>
      <c r="HT14" s="123"/>
      <c r="HU14" s="123"/>
      <c r="HV14" s="123"/>
      <c r="HW14" s="123"/>
      <c r="HX14" s="123"/>
      <c r="HY14" s="123"/>
      <c r="HZ14" s="123"/>
      <c r="IA14" s="123"/>
      <c r="IB14" s="123"/>
      <c r="IC14" s="123"/>
      <c r="ID14" s="123"/>
      <c r="IE14" s="123"/>
      <c r="IF14" s="123"/>
      <c r="IG14" s="123"/>
      <c r="IH14" s="123"/>
      <c r="II14" s="123"/>
      <c r="IJ14" s="123"/>
      <c r="IK14" s="123"/>
      <c r="IL14" s="123"/>
      <c r="IM14" s="123"/>
      <c r="IN14" s="123"/>
      <c r="IO14" s="123"/>
      <c r="IP14" s="123"/>
      <c r="IQ14" s="123"/>
      <c r="IR14" s="123"/>
      <c r="IS14" s="123"/>
      <c r="IT14" s="123"/>
      <c r="IU14" s="123"/>
      <c r="IV14" s="123"/>
      <c r="IW14" s="123"/>
      <c r="IX14" s="123"/>
      <c r="IY14" s="123"/>
      <c r="IZ14" s="123"/>
      <c r="JA14" s="123"/>
      <c r="JB14" s="123"/>
      <c r="JC14" s="123"/>
      <c r="JD14" s="123"/>
      <c r="JE14" s="123"/>
      <c r="JF14" s="123"/>
      <c r="JG14" s="123"/>
      <c r="JH14" s="123"/>
      <c r="JI14" s="123"/>
      <c r="JJ14" s="123"/>
      <c r="JK14" s="123"/>
      <c r="JL14" s="123"/>
      <c r="JM14" s="123"/>
      <c r="JN14" s="123"/>
      <c r="JO14" s="123"/>
      <c r="JP14" s="123"/>
      <c r="JQ14" s="123"/>
      <c r="JR14" s="123"/>
      <c r="JS14" s="123"/>
      <c r="JT14" s="123"/>
      <c r="JU14" s="123"/>
      <c r="JV14" s="123"/>
      <c r="JW14" s="123"/>
      <c r="JX14" s="123"/>
      <c r="JY14" s="123"/>
      <c r="JZ14" s="123"/>
      <c r="KA14" s="123"/>
      <c r="KB14" s="123"/>
      <c r="KC14" s="123"/>
      <c r="KD14" s="123"/>
      <c r="KE14" s="123"/>
      <c r="KF14" s="123"/>
      <c r="KG14" s="123"/>
      <c r="KH14" s="123"/>
      <c r="KI14" s="123"/>
      <c r="KJ14" s="123"/>
      <c r="KK14" s="123"/>
      <c r="KL14" s="123"/>
      <c r="KM14" s="123"/>
      <c r="KN14" s="123"/>
      <c r="KO14" s="123"/>
      <c r="KP14" s="123"/>
      <c r="KQ14" s="123"/>
      <c r="KR14" s="123"/>
      <c r="KS14" s="123"/>
      <c r="KT14" s="123"/>
      <c r="KU14" s="123"/>
      <c r="KV14" s="123"/>
      <c r="KW14" s="123"/>
      <c r="KX14" s="123"/>
      <c r="KY14" s="123"/>
      <c r="KZ14" s="123"/>
      <c r="LA14" s="123"/>
      <c r="LB14" s="123"/>
      <c r="LC14" s="123"/>
      <c r="LD14" s="123"/>
      <c r="LE14" s="123"/>
      <c r="LF14" s="123"/>
      <c r="LG14" s="123"/>
      <c r="LH14" s="123"/>
      <c r="LI14" s="123"/>
      <c r="LJ14" s="123"/>
      <c r="LK14" s="123"/>
      <c r="LL14" s="123"/>
      <c r="LM14" s="123"/>
      <c r="LN14" s="123"/>
      <c r="LO14" s="123"/>
      <c r="LP14" s="123"/>
      <c r="LQ14" s="123"/>
      <c r="LR14" s="123"/>
      <c r="LS14" s="123"/>
      <c r="LT14" s="123"/>
      <c r="LU14" s="123"/>
      <c r="LV14" s="123"/>
      <c r="LW14" s="123"/>
      <c r="LX14" s="123"/>
      <c r="LY14" s="123"/>
      <c r="LZ14" s="123"/>
      <c r="MA14" s="123"/>
      <c r="MB14" s="123"/>
      <c r="MC14" s="123"/>
      <c r="MD14" s="123"/>
      <c r="ME14" s="123"/>
      <c r="MF14" s="123"/>
      <c r="MG14" s="123"/>
      <c r="MH14" s="123"/>
      <c r="MI14" s="123"/>
      <c r="MJ14" s="123"/>
      <c r="MK14" s="123"/>
      <c r="ML14" s="123"/>
      <c r="MM14" s="123"/>
      <c r="MN14" s="123"/>
      <c r="MO14" s="123"/>
      <c r="MP14" s="123"/>
      <c r="MQ14" s="123"/>
      <c r="MR14" s="123"/>
      <c r="MS14" s="123"/>
      <c r="MT14" s="123"/>
      <c r="MU14" s="123"/>
      <c r="MV14" s="123"/>
      <c r="MW14" s="123"/>
      <c r="MX14" s="123"/>
      <c r="MY14" s="123"/>
      <c r="MZ14" s="123"/>
      <c r="NA14" s="123"/>
      <c r="NB14" s="123"/>
      <c r="NC14" s="123"/>
      <c r="ND14" s="123"/>
      <c r="NE14" s="126"/>
      <c r="NF14" s="123"/>
    </row>
    <row r="15" spans="1:374" ht="16.5" thickBot="1" x14ac:dyDescent="0.3">
      <c r="B15" s="13">
        <v>512</v>
      </c>
      <c r="C15" s="159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4"/>
      <c r="CZ15" s="124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4"/>
      <c r="DR15" s="124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4"/>
      <c r="EI15" s="124"/>
      <c r="EJ15" s="124"/>
      <c r="EK15" s="124"/>
      <c r="EL15" s="124"/>
      <c r="EM15" s="124"/>
      <c r="EN15" s="124"/>
      <c r="EO15" s="124"/>
      <c r="EP15" s="124"/>
      <c r="EQ15" s="124"/>
      <c r="ER15" s="124"/>
      <c r="ES15" s="124"/>
      <c r="ET15" s="124"/>
      <c r="EU15" s="124"/>
      <c r="EV15" s="124"/>
      <c r="EW15" s="124"/>
      <c r="EX15" s="124"/>
      <c r="EY15" s="124"/>
      <c r="EZ15" s="124"/>
      <c r="FA15" s="124"/>
      <c r="FB15" s="124"/>
      <c r="FC15" s="124"/>
      <c r="FD15" s="124"/>
      <c r="FE15" s="124"/>
      <c r="FF15" s="124"/>
      <c r="FG15" s="124"/>
      <c r="FH15" s="124"/>
      <c r="FI15" s="124"/>
      <c r="FJ15" s="124"/>
      <c r="FK15" s="124"/>
      <c r="FL15" s="124"/>
      <c r="FM15" s="124"/>
      <c r="FN15" s="124"/>
      <c r="FO15" s="124"/>
      <c r="FP15" s="124"/>
      <c r="FQ15" s="124"/>
      <c r="FR15" s="124"/>
      <c r="FS15" s="124"/>
      <c r="FT15" s="124"/>
      <c r="FU15" s="124"/>
      <c r="FV15" s="124"/>
      <c r="FW15" s="124"/>
      <c r="FX15" s="124"/>
      <c r="FY15" s="124"/>
      <c r="FZ15" s="124"/>
      <c r="GA15" s="124"/>
      <c r="GB15" s="124"/>
      <c r="GC15" s="124"/>
      <c r="GD15" s="124"/>
      <c r="GE15" s="124"/>
      <c r="GF15" s="124"/>
      <c r="GG15" s="124"/>
      <c r="GH15" s="124"/>
      <c r="GI15" s="124"/>
      <c r="GJ15" s="124"/>
      <c r="GK15" s="124"/>
      <c r="GL15" s="124"/>
      <c r="GM15" s="124"/>
      <c r="GN15" s="124"/>
      <c r="GO15" s="124"/>
      <c r="GP15" s="124"/>
      <c r="GQ15" s="124"/>
      <c r="GR15" s="124"/>
      <c r="GS15" s="124"/>
      <c r="GT15" s="124"/>
      <c r="GU15" s="124"/>
      <c r="GV15" s="124"/>
      <c r="GW15" s="124"/>
      <c r="GX15" s="124"/>
      <c r="GY15" s="124"/>
      <c r="GZ15" s="124"/>
      <c r="HA15" s="124"/>
      <c r="HB15" s="124"/>
      <c r="HC15" s="124"/>
      <c r="HD15" s="124"/>
      <c r="HE15" s="124"/>
      <c r="HF15" s="124"/>
      <c r="HG15" s="124"/>
      <c r="HH15" s="124"/>
      <c r="HI15" s="124"/>
      <c r="HJ15" s="124"/>
      <c r="HK15" s="124"/>
      <c r="HL15" s="124"/>
      <c r="HM15" s="124"/>
      <c r="HN15" s="124"/>
      <c r="HO15" s="124"/>
      <c r="HP15" s="124"/>
      <c r="HQ15" s="124"/>
      <c r="HR15" s="124"/>
      <c r="HS15" s="124"/>
      <c r="HT15" s="124"/>
      <c r="HU15" s="124"/>
      <c r="HV15" s="124"/>
      <c r="HW15" s="124"/>
      <c r="HX15" s="124"/>
      <c r="HY15" s="124"/>
      <c r="HZ15" s="124"/>
      <c r="IA15" s="124"/>
      <c r="IB15" s="124"/>
      <c r="IC15" s="124"/>
      <c r="ID15" s="124"/>
      <c r="IE15" s="124"/>
      <c r="IF15" s="124"/>
      <c r="IG15" s="124"/>
      <c r="IH15" s="124"/>
      <c r="II15" s="124"/>
      <c r="IJ15" s="124"/>
      <c r="IK15" s="124"/>
      <c r="IL15" s="124"/>
      <c r="IM15" s="124"/>
      <c r="IN15" s="124"/>
      <c r="IO15" s="124"/>
      <c r="IP15" s="124"/>
      <c r="IQ15" s="124"/>
      <c r="IR15" s="124"/>
      <c r="IS15" s="124"/>
      <c r="IT15" s="124"/>
      <c r="IU15" s="124"/>
      <c r="IV15" s="124"/>
      <c r="IW15" s="124"/>
      <c r="IX15" s="124"/>
      <c r="IY15" s="124"/>
      <c r="IZ15" s="124"/>
      <c r="JA15" s="124"/>
      <c r="JB15" s="124"/>
      <c r="JC15" s="124"/>
      <c r="JD15" s="124"/>
      <c r="JE15" s="124"/>
      <c r="JF15" s="124"/>
      <c r="JG15" s="124"/>
      <c r="JH15" s="124"/>
      <c r="JI15" s="124"/>
      <c r="JJ15" s="124"/>
      <c r="JK15" s="124"/>
      <c r="JL15" s="124"/>
      <c r="JM15" s="124"/>
      <c r="JN15" s="124"/>
      <c r="JO15" s="124"/>
      <c r="JP15" s="124"/>
      <c r="JQ15" s="124"/>
      <c r="JR15" s="124"/>
      <c r="JS15" s="124"/>
      <c r="JT15" s="124"/>
      <c r="JU15" s="124"/>
      <c r="JV15" s="124"/>
      <c r="JW15" s="124"/>
      <c r="JX15" s="124"/>
      <c r="JY15" s="124"/>
      <c r="JZ15" s="124"/>
      <c r="KA15" s="124"/>
      <c r="KB15" s="124"/>
      <c r="KC15" s="124"/>
      <c r="KD15" s="124"/>
      <c r="KE15" s="124"/>
      <c r="KF15" s="124"/>
      <c r="KG15" s="124"/>
      <c r="KH15" s="124"/>
      <c r="KI15" s="124"/>
      <c r="KJ15" s="124"/>
      <c r="KK15" s="124"/>
      <c r="KL15" s="124"/>
      <c r="KM15" s="124"/>
      <c r="KN15" s="124"/>
      <c r="KO15" s="124"/>
      <c r="KP15" s="124"/>
      <c r="KQ15" s="124"/>
      <c r="KR15" s="124"/>
      <c r="KS15" s="124"/>
      <c r="KT15" s="124"/>
      <c r="KU15" s="124"/>
      <c r="KV15" s="124"/>
      <c r="KW15" s="124"/>
      <c r="KX15" s="124"/>
      <c r="KY15" s="124"/>
      <c r="KZ15" s="124"/>
      <c r="LA15" s="124"/>
      <c r="LB15" s="124"/>
      <c r="LC15" s="124"/>
      <c r="LD15" s="124"/>
      <c r="LE15" s="124"/>
      <c r="LF15" s="124"/>
      <c r="LG15" s="124"/>
      <c r="LH15" s="124"/>
      <c r="LI15" s="124"/>
      <c r="LJ15" s="124"/>
      <c r="LK15" s="124"/>
      <c r="LL15" s="124"/>
      <c r="LM15" s="124"/>
      <c r="LN15" s="124"/>
      <c r="LO15" s="124"/>
      <c r="LP15" s="124"/>
      <c r="LQ15" s="124"/>
      <c r="LR15" s="124"/>
      <c r="LS15" s="124"/>
      <c r="LT15" s="124"/>
      <c r="LU15" s="124"/>
      <c r="LV15" s="124"/>
      <c r="LW15" s="124"/>
      <c r="LX15" s="124"/>
      <c r="LY15" s="124"/>
      <c r="LZ15" s="124"/>
      <c r="MA15" s="124"/>
      <c r="MB15" s="124"/>
      <c r="MC15" s="124"/>
      <c r="MD15" s="124"/>
      <c r="ME15" s="124"/>
      <c r="MF15" s="124"/>
      <c r="MG15" s="124"/>
      <c r="MH15" s="124"/>
      <c r="MI15" s="124"/>
      <c r="MJ15" s="124"/>
      <c r="MK15" s="124"/>
      <c r="ML15" s="124"/>
      <c r="MM15" s="124"/>
      <c r="MN15" s="124"/>
      <c r="MO15" s="124"/>
      <c r="MP15" s="124"/>
      <c r="MQ15" s="124"/>
      <c r="MR15" s="124"/>
      <c r="MS15" s="124"/>
      <c r="MT15" s="124"/>
      <c r="MU15" s="124"/>
      <c r="MV15" s="124"/>
      <c r="MW15" s="124"/>
      <c r="MX15" s="124"/>
      <c r="MY15" s="124"/>
      <c r="MZ15" s="124"/>
      <c r="NA15" s="124"/>
      <c r="NB15" s="124"/>
      <c r="NC15" s="124"/>
      <c r="ND15" s="124"/>
      <c r="NE15" s="156"/>
      <c r="NF15" s="124"/>
    </row>
    <row r="16" spans="1:374" ht="16.5" thickBot="1" x14ac:dyDescent="0.3">
      <c r="B16" s="7" t="s">
        <v>9</v>
      </c>
      <c r="C16" s="9" t="s">
        <v>9</v>
      </c>
      <c r="D16" s="9" t="s">
        <v>9</v>
      </c>
      <c r="E16" s="9" t="s">
        <v>9</v>
      </c>
      <c r="F16" s="9" t="s">
        <v>9</v>
      </c>
      <c r="G16" s="9" t="s">
        <v>9</v>
      </c>
      <c r="H16" s="9" t="s">
        <v>9</v>
      </c>
      <c r="I16" s="9" t="s">
        <v>9</v>
      </c>
      <c r="J16" s="9" t="s">
        <v>9</v>
      </c>
      <c r="K16" s="9" t="s">
        <v>9</v>
      </c>
      <c r="L16" s="9" t="s">
        <v>9</v>
      </c>
      <c r="M16" s="9" t="s">
        <v>9</v>
      </c>
      <c r="N16" s="9" t="s">
        <v>9</v>
      </c>
      <c r="O16" s="9" t="s">
        <v>9</v>
      </c>
      <c r="P16" s="9" t="s">
        <v>9</v>
      </c>
      <c r="Q16" s="9" t="s">
        <v>9</v>
      </c>
      <c r="R16" s="9" t="s">
        <v>9</v>
      </c>
      <c r="S16" s="9" t="s">
        <v>9</v>
      </c>
      <c r="T16" s="9" t="s">
        <v>9</v>
      </c>
      <c r="U16" s="9" t="s">
        <v>9</v>
      </c>
      <c r="V16" s="9" t="s">
        <v>9</v>
      </c>
      <c r="W16" s="9" t="s">
        <v>9</v>
      </c>
      <c r="X16" s="9" t="s">
        <v>9</v>
      </c>
      <c r="Y16" s="9" t="s">
        <v>9</v>
      </c>
      <c r="Z16" s="9" t="s">
        <v>9</v>
      </c>
      <c r="AA16" s="9" t="s">
        <v>9</v>
      </c>
      <c r="AB16" s="9" t="s">
        <v>9</v>
      </c>
      <c r="AC16" s="9" t="s">
        <v>9</v>
      </c>
      <c r="AD16" s="9" t="s">
        <v>9</v>
      </c>
      <c r="AE16" s="9" t="s">
        <v>9</v>
      </c>
      <c r="AF16" s="9" t="s">
        <v>9</v>
      </c>
      <c r="AG16" s="9" t="s">
        <v>9</v>
      </c>
      <c r="AH16" s="9" t="s">
        <v>9</v>
      </c>
      <c r="AI16" s="9" t="s">
        <v>9</v>
      </c>
      <c r="AJ16" s="9" t="s">
        <v>9</v>
      </c>
      <c r="AK16" s="9" t="s">
        <v>9</v>
      </c>
      <c r="AL16" s="9" t="s">
        <v>9</v>
      </c>
      <c r="AM16" s="9" t="s">
        <v>9</v>
      </c>
      <c r="AN16" s="9" t="s">
        <v>9</v>
      </c>
      <c r="AO16" s="9" t="s">
        <v>9</v>
      </c>
      <c r="AP16" s="9" t="s">
        <v>9</v>
      </c>
      <c r="AQ16" s="9" t="s">
        <v>9</v>
      </c>
      <c r="AR16" s="9" t="s">
        <v>9</v>
      </c>
      <c r="AS16" s="9" t="s">
        <v>9</v>
      </c>
      <c r="AT16" s="9" t="s">
        <v>9</v>
      </c>
      <c r="AU16" s="9" t="s">
        <v>9</v>
      </c>
      <c r="AV16" s="9" t="s">
        <v>9</v>
      </c>
      <c r="AW16" s="9" t="s">
        <v>9</v>
      </c>
      <c r="AX16" s="9" t="s">
        <v>9</v>
      </c>
      <c r="AY16" s="9" t="s">
        <v>9</v>
      </c>
      <c r="AZ16" s="9" t="s">
        <v>9</v>
      </c>
      <c r="BA16" s="9" t="s">
        <v>9</v>
      </c>
      <c r="BB16" s="9" t="s">
        <v>9</v>
      </c>
      <c r="BC16" s="9" t="s">
        <v>9</v>
      </c>
      <c r="BD16" s="9" t="s">
        <v>9</v>
      </c>
      <c r="BE16" s="9" t="s">
        <v>9</v>
      </c>
      <c r="BF16" s="9" t="s">
        <v>9</v>
      </c>
      <c r="BG16" s="9" t="s">
        <v>9</v>
      </c>
      <c r="BH16" s="9" t="s">
        <v>9</v>
      </c>
      <c r="BI16" s="9" t="s">
        <v>9</v>
      </c>
      <c r="BJ16" s="9" t="s">
        <v>9</v>
      </c>
      <c r="BK16" s="9" t="s">
        <v>9</v>
      </c>
      <c r="BL16" s="9" t="s">
        <v>9</v>
      </c>
      <c r="BM16" s="9" t="s">
        <v>9</v>
      </c>
      <c r="BN16" s="9" t="s">
        <v>9</v>
      </c>
      <c r="BO16" s="9" t="s">
        <v>9</v>
      </c>
      <c r="BP16" s="9" t="s">
        <v>9</v>
      </c>
      <c r="BQ16" s="9" t="s">
        <v>9</v>
      </c>
      <c r="BR16" s="9" t="s">
        <v>9</v>
      </c>
      <c r="BS16" s="9" t="s">
        <v>9</v>
      </c>
      <c r="BT16" s="9" t="s">
        <v>9</v>
      </c>
      <c r="BU16" s="9" t="s">
        <v>9</v>
      </c>
      <c r="BV16" s="9" t="s">
        <v>9</v>
      </c>
      <c r="BW16" s="9" t="s">
        <v>9</v>
      </c>
      <c r="BX16" s="9" t="s">
        <v>9</v>
      </c>
      <c r="BY16" s="9" t="s">
        <v>9</v>
      </c>
      <c r="BZ16" s="9" t="s">
        <v>9</v>
      </c>
      <c r="CA16" s="9" t="s">
        <v>9</v>
      </c>
      <c r="CB16" s="9" t="s">
        <v>9</v>
      </c>
      <c r="CC16" s="9" t="s">
        <v>9</v>
      </c>
      <c r="CD16" s="9" t="s">
        <v>9</v>
      </c>
      <c r="CE16" s="9" t="s">
        <v>9</v>
      </c>
      <c r="CF16" s="9" t="s">
        <v>9</v>
      </c>
      <c r="CG16" s="9" t="s">
        <v>9</v>
      </c>
      <c r="CH16" s="9" t="s">
        <v>9</v>
      </c>
      <c r="CI16" s="9" t="s">
        <v>9</v>
      </c>
      <c r="CJ16" s="9" t="s">
        <v>9</v>
      </c>
      <c r="CK16" s="9" t="s">
        <v>9</v>
      </c>
      <c r="CL16" s="9" t="s">
        <v>9</v>
      </c>
      <c r="CM16" s="9" t="s">
        <v>9</v>
      </c>
      <c r="CN16" s="9" t="s">
        <v>9</v>
      </c>
      <c r="CO16" s="9" t="s">
        <v>9</v>
      </c>
      <c r="CP16" s="9" t="s">
        <v>9</v>
      </c>
      <c r="CQ16" s="9" t="s">
        <v>9</v>
      </c>
      <c r="CR16" s="9" t="s">
        <v>9</v>
      </c>
      <c r="CS16" s="9" t="s">
        <v>9</v>
      </c>
      <c r="CT16" s="9" t="s">
        <v>9</v>
      </c>
      <c r="CU16" s="9" t="s">
        <v>9</v>
      </c>
      <c r="CV16" s="9" t="s">
        <v>9</v>
      </c>
      <c r="CW16" s="9" t="s">
        <v>9</v>
      </c>
      <c r="CX16" s="9" t="s">
        <v>9</v>
      </c>
      <c r="CY16" s="9" t="s">
        <v>9</v>
      </c>
      <c r="CZ16" s="9" t="s">
        <v>9</v>
      </c>
      <c r="DA16" s="9" t="s">
        <v>9</v>
      </c>
      <c r="DB16" s="9" t="s">
        <v>9</v>
      </c>
      <c r="DC16" s="9" t="s">
        <v>9</v>
      </c>
      <c r="DD16" s="9" t="s">
        <v>9</v>
      </c>
      <c r="DE16" s="9" t="s">
        <v>9</v>
      </c>
      <c r="DF16" s="9" t="s">
        <v>9</v>
      </c>
      <c r="DG16" s="9" t="s">
        <v>9</v>
      </c>
      <c r="DH16" s="9" t="s">
        <v>9</v>
      </c>
      <c r="DI16" s="9" t="s">
        <v>9</v>
      </c>
      <c r="DJ16" s="9" t="s">
        <v>9</v>
      </c>
      <c r="DK16" s="9" t="s">
        <v>9</v>
      </c>
      <c r="DL16" s="9" t="s">
        <v>9</v>
      </c>
      <c r="DM16" s="9" t="s">
        <v>9</v>
      </c>
      <c r="DN16" s="9" t="s">
        <v>9</v>
      </c>
      <c r="DO16" s="9" t="s">
        <v>9</v>
      </c>
      <c r="DP16" s="9" t="s">
        <v>9</v>
      </c>
      <c r="DQ16" s="9" t="s">
        <v>9</v>
      </c>
      <c r="DR16" s="9" t="s">
        <v>9</v>
      </c>
      <c r="DS16" s="9" t="s">
        <v>9</v>
      </c>
      <c r="DT16" s="9" t="s">
        <v>9</v>
      </c>
      <c r="DU16" s="9" t="s">
        <v>9</v>
      </c>
      <c r="DV16" s="9" t="s">
        <v>9</v>
      </c>
      <c r="DW16" s="9" t="s">
        <v>9</v>
      </c>
      <c r="DX16" s="9" t="s">
        <v>9</v>
      </c>
      <c r="DY16" s="9" t="s">
        <v>9</v>
      </c>
      <c r="DZ16" s="9" t="s">
        <v>9</v>
      </c>
      <c r="EA16" s="9" t="s">
        <v>9</v>
      </c>
      <c r="EB16" s="9" t="s">
        <v>9</v>
      </c>
      <c r="EC16" s="9" t="s">
        <v>9</v>
      </c>
      <c r="ED16" s="9" t="s">
        <v>9</v>
      </c>
      <c r="EE16" s="9" t="s">
        <v>9</v>
      </c>
      <c r="EF16" s="9" t="s">
        <v>9</v>
      </c>
      <c r="EG16" s="9" t="s">
        <v>9</v>
      </c>
      <c r="EH16" s="9" t="s">
        <v>9</v>
      </c>
      <c r="EI16" s="9" t="s">
        <v>9</v>
      </c>
      <c r="EJ16" s="9" t="s">
        <v>9</v>
      </c>
      <c r="EK16" s="9" t="s">
        <v>9</v>
      </c>
      <c r="EL16" s="9" t="s">
        <v>9</v>
      </c>
      <c r="EM16" s="9" t="s">
        <v>9</v>
      </c>
      <c r="EN16" s="9" t="s">
        <v>9</v>
      </c>
      <c r="EO16" s="9" t="s">
        <v>9</v>
      </c>
      <c r="EP16" s="9" t="s">
        <v>9</v>
      </c>
      <c r="EQ16" s="9" t="s">
        <v>9</v>
      </c>
      <c r="ER16" s="9" t="s">
        <v>9</v>
      </c>
      <c r="ES16" s="9" t="s">
        <v>9</v>
      </c>
      <c r="ET16" s="9" t="s">
        <v>9</v>
      </c>
      <c r="EU16" s="9" t="s">
        <v>9</v>
      </c>
      <c r="EV16" s="9" t="s">
        <v>9</v>
      </c>
      <c r="EW16" s="9" t="s">
        <v>9</v>
      </c>
      <c r="EX16" s="9" t="s">
        <v>9</v>
      </c>
      <c r="EY16" s="9" t="s">
        <v>9</v>
      </c>
      <c r="EZ16" s="9" t="s">
        <v>9</v>
      </c>
      <c r="FA16" s="9" t="s">
        <v>9</v>
      </c>
      <c r="FB16" s="9" t="s">
        <v>9</v>
      </c>
      <c r="FC16" s="9" t="s">
        <v>9</v>
      </c>
      <c r="FD16" s="9" t="s">
        <v>9</v>
      </c>
      <c r="FE16" s="9" t="s">
        <v>9</v>
      </c>
      <c r="FF16" s="9" t="s">
        <v>9</v>
      </c>
      <c r="FG16" s="9" t="s">
        <v>9</v>
      </c>
      <c r="FH16" s="9" t="s">
        <v>9</v>
      </c>
      <c r="FI16" s="9" t="s">
        <v>9</v>
      </c>
      <c r="FJ16" s="9" t="s">
        <v>9</v>
      </c>
      <c r="FK16" s="9" t="s">
        <v>9</v>
      </c>
      <c r="FL16" s="9" t="s">
        <v>9</v>
      </c>
      <c r="FM16" s="9" t="s">
        <v>9</v>
      </c>
      <c r="FN16" s="9" t="s">
        <v>9</v>
      </c>
      <c r="FO16" s="9" t="s">
        <v>9</v>
      </c>
      <c r="FP16" s="9" t="s">
        <v>9</v>
      </c>
      <c r="FQ16" s="9" t="s">
        <v>9</v>
      </c>
      <c r="FR16" s="9" t="s">
        <v>9</v>
      </c>
      <c r="FS16" s="9" t="s">
        <v>9</v>
      </c>
      <c r="FT16" s="9" t="s">
        <v>9</v>
      </c>
      <c r="FU16" s="9" t="s">
        <v>9</v>
      </c>
      <c r="FV16" s="9" t="s">
        <v>9</v>
      </c>
      <c r="FW16" s="9" t="s">
        <v>9</v>
      </c>
      <c r="FX16" s="9" t="s">
        <v>9</v>
      </c>
      <c r="FY16" s="9" t="s">
        <v>9</v>
      </c>
      <c r="FZ16" s="9" t="s">
        <v>9</v>
      </c>
      <c r="GA16" s="9" t="s">
        <v>9</v>
      </c>
      <c r="GB16" s="9" t="s">
        <v>9</v>
      </c>
      <c r="GC16" s="9" t="s">
        <v>9</v>
      </c>
      <c r="GD16" s="9" t="s">
        <v>9</v>
      </c>
      <c r="GE16" s="9" t="s">
        <v>9</v>
      </c>
      <c r="GF16" s="9" t="s">
        <v>9</v>
      </c>
      <c r="GG16" s="9" t="s">
        <v>9</v>
      </c>
      <c r="GH16" s="9" t="s">
        <v>9</v>
      </c>
      <c r="GI16" s="9" t="s">
        <v>9</v>
      </c>
      <c r="GJ16" s="9" t="s">
        <v>9</v>
      </c>
      <c r="GK16" s="9" t="s">
        <v>9</v>
      </c>
      <c r="GL16" s="9" t="s">
        <v>9</v>
      </c>
      <c r="GM16" s="9" t="s">
        <v>9</v>
      </c>
      <c r="GN16" s="9" t="s">
        <v>9</v>
      </c>
      <c r="GO16" s="9" t="s">
        <v>9</v>
      </c>
      <c r="GP16" s="9" t="s">
        <v>9</v>
      </c>
      <c r="GQ16" s="9" t="s">
        <v>9</v>
      </c>
      <c r="GR16" s="9" t="s">
        <v>9</v>
      </c>
      <c r="GS16" s="9" t="s">
        <v>9</v>
      </c>
      <c r="GT16" s="9" t="s">
        <v>9</v>
      </c>
      <c r="GU16" s="9" t="s">
        <v>9</v>
      </c>
      <c r="GV16" s="9" t="s">
        <v>9</v>
      </c>
      <c r="GW16" s="9" t="s">
        <v>9</v>
      </c>
      <c r="GX16" s="9" t="s">
        <v>9</v>
      </c>
      <c r="GY16" s="9" t="s">
        <v>9</v>
      </c>
      <c r="GZ16" s="9" t="s">
        <v>9</v>
      </c>
      <c r="HA16" s="9" t="s">
        <v>9</v>
      </c>
      <c r="HB16" s="9" t="s">
        <v>9</v>
      </c>
      <c r="HC16" s="9" t="s">
        <v>9</v>
      </c>
      <c r="HD16" s="9" t="s">
        <v>9</v>
      </c>
      <c r="HE16" s="9" t="s">
        <v>9</v>
      </c>
      <c r="HF16" s="9" t="s">
        <v>9</v>
      </c>
      <c r="HG16" s="9" t="s">
        <v>9</v>
      </c>
      <c r="HH16" s="9" t="s">
        <v>9</v>
      </c>
      <c r="HI16" s="9" t="s">
        <v>9</v>
      </c>
      <c r="HJ16" s="9" t="s">
        <v>9</v>
      </c>
      <c r="HK16" s="9" t="s">
        <v>9</v>
      </c>
      <c r="HL16" s="9" t="s">
        <v>9</v>
      </c>
      <c r="HM16" s="9" t="s">
        <v>9</v>
      </c>
      <c r="HN16" s="9" t="s">
        <v>9</v>
      </c>
      <c r="HO16" s="9" t="s">
        <v>9</v>
      </c>
      <c r="HP16" s="9" t="s">
        <v>9</v>
      </c>
      <c r="HQ16" s="9" t="s">
        <v>9</v>
      </c>
      <c r="HR16" s="9" t="s">
        <v>9</v>
      </c>
      <c r="HS16" s="9" t="s">
        <v>9</v>
      </c>
      <c r="HT16" s="9" t="s">
        <v>9</v>
      </c>
      <c r="HU16" s="9" t="s">
        <v>9</v>
      </c>
      <c r="HV16" s="9" t="s">
        <v>9</v>
      </c>
      <c r="HW16" s="9" t="s">
        <v>9</v>
      </c>
      <c r="HX16" s="9" t="s">
        <v>9</v>
      </c>
      <c r="HY16" s="9" t="s">
        <v>9</v>
      </c>
      <c r="HZ16" s="9" t="s">
        <v>9</v>
      </c>
      <c r="IA16" s="9" t="s">
        <v>9</v>
      </c>
      <c r="IB16" s="9" t="s">
        <v>9</v>
      </c>
      <c r="IC16" s="9" t="s">
        <v>9</v>
      </c>
      <c r="ID16" s="9" t="s">
        <v>9</v>
      </c>
      <c r="IE16" s="9" t="s">
        <v>9</v>
      </c>
      <c r="IF16" s="9" t="s">
        <v>9</v>
      </c>
      <c r="IG16" s="9" t="s">
        <v>9</v>
      </c>
      <c r="IH16" s="9" t="s">
        <v>9</v>
      </c>
      <c r="II16" s="9" t="s">
        <v>9</v>
      </c>
      <c r="IJ16" s="9" t="s">
        <v>9</v>
      </c>
      <c r="IK16" s="9" t="s">
        <v>9</v>
      </c>
      <c r="IL16" s="9" t="s">
        <v>9</v>
      </c>
      <c r="IM16" s="9" t="s">
        <v>9</v>
      </c>
      <c r="IN16" s="9" t="s">
        <v>9</v>
      </c>
      <c r="IO16" s="9" t="s">
        <v>9</v>
      </c>
      <c r="IP16" s="9" t="s">
        <v>9</v>
      </c>
      <c r="IQ16" s="9" t="s">
        <v>9</v>
      </c>
      <c r="IR16" s="9" t="s">
        <v>9</v>
      </c>
      <c r="IS16" s="9" t="s">
        <v>9</v>
      </c>
      <c r="IT16" s="9" t="s">
        <v>9</v>
      </c>
      <c r="IU16" s="9" t="s">
        <v>9</v>
      </c>
      <c r="IV16" s="9" t="s">
        <v>9</v>
      </c>
      <c r="IW16" s="9" t="s">
        <v>9</v>
      </c>
      <c r="IX16" s="9" t="s">
        <v>9</v>
      </c>
      <c r="IY16" s="9" t="s">
        <v>9</v>
      </c>
      <c r="IZ16" s="9" t="s">
        <v>9</v>
      </c>
      <c r="JA16" s="9" t="s">
        <v>9</v>
      </c>
      <c r="JB16" s="9" t="s">
        <v>9</v>
      </c>
      <c r="JC16" s="9" t="s">
        <v>9</v>
      </c>
      <c r="JD16" s="9" t="s">
        <v>9</v>
      </c>
      <c r="JE16" s="9" t="s">
        <v>9</v>
      </c>
      <c r="JF16" s="9" t="s">
        <v>9</v>
      </c>
      <c r="JG16" s="9" t="s">
        <v>9</v>
      </c>
      <c r="JH16" s="9" t="s">
        <v>9</v>
      </c>
      <c r="JI16" s="9" t="s">
        <v>9</v>
      </c>
      <c r="JJ16" s="9" t="s">
        <v>9</v>
      </c>
      <c r="JK16" s="9" t="s">
        <v>9</v>
      </c>
      <c r="JL16" s="9" t="s">
        <v>9</v>
      </c>
      <c r="JM16" s="9" t="s">
        <v>9</v>
      </c>
      <c r="JN16" s="9" t="s">
        <v>9</v>
      </c>
      <c r="JO16" s="9" t="s">
        <v>9</v>
      </c>
      <c r="JP16" s="9" t="s">
        <v>9</v>
      </c>
      <c r="JQ16" s="9" t="s">
        <v>9</v>
      </c>
      <c r="JR16" s="9" t="s">
        <v>9</v>
      </c>
      <c r="JS16" s="9" t="s">
        <v>9</v>
      </c>
      <c r="JT16" s="9" t="s">
        <v>9</v>
      </c>
      <c r="JU16" s="9" t="s">
        <v>9</v>
      </c>
      <c r="JV16" s="9" t="s">
        <v>9</v>
      </c>
      <c r="JW16" s="9" t="s">
        <v>9</v>
      </c>
      <c r="JX16" s="9" t="s">
        <v>9</v>
      </c>
      <c r="JY16" s="9" t="s">
        <v>9</v>
      </c>
      <c r="JZ16" s="9" t="s">
        <v>9</v>
      </c>
      <c r="KA16" s="9" t="s">
        <v>9</v>
      </c>
      <c r="KB16" s="9" t="s">
        <v>9</v>
      </c>
      <c r="KC16" s="9" t="s">
        <v>9</v>
      </c>
      <c r="KD16" s="9" t="s">
        <v>9</v>
      </c>
      <c r="KE16" s="9" t="s">
        <v>9</v>
      </c>
      <c r="KF16" s="9" t="s">
        <v>9</v>
      </c>
      <c r="KG16" s="9" t="s">
        <v>9</v>
      </c>
      <c r="KH16" s="9" t="s">
        <v>9</v>
      </c>
      <c r="KI16" s="9" t="s">
        <v>9</v>
      </c>
      <c r="KJ16" s="9" t="s">
        <v>9</v>
      </c>
      <c r="KK16" s="9" t="s">
        <v>9</v>
      </c>
      <c r="KL16" s="9" t="s">
        <v>9</v>
      </c>
      <c r="KM16" s="9" t="s">
        <v>9</v>
      </c>
      <c r="KN16" s="9" t="s">
        <v>9</v>
      </c>
      <c r="KO16" s="9" t="s">
        <v>9</v>
      </c>
      <c r="KP16" s="9" t="s">
        <v>9</v>
      </c>
      <c r="KQ16" s="9" t="s">
        <v>9</v>
      </c>
      <c r="KR16" s="9" t="s">
        <v>9</v>
      </c>
      <c r="KS16" s="9" t="s">
        <v>9</v>
      </c>
      <c r="KT16" s="9" t="s">
        <v>9</v>
      </c>
      <c r="KU16" s="9" t="s">
        <v>9</v>
      </c>
      <c r="KV16" s="9" t="s">
        <v>9</v>
      </c>
      <c r="KW16" s="9" t="s">
        <v>9</v>
      </c>
      <c r="KX16" s="9" t="s">
        <v>9</v>
      </c>
      <c r="KY16" s="9" t="s">
        <v>9</v>
      </c>
      <c r="KZ16" s="9" t="s">
        <v>9</v>
      </c>
      <c r="LA16" s="9" t="s">
        <v>9</v>
      </c>
      <c r="LB16" s="9" t="s">
        <v>9</v>
      </c>
      <c r="LC16" s="9" t="s">
        <v>9</v>
      </c>
      <c r="LD16" s="9" t="s">
        <v>9</v>
      </c>
      <c r="LE16" s="9" t="s">
        <v>9</v>
      </c>
      <c r="LF16" s="9" t="s">
        <v>9</v>
      </c>
      <c r="LG16" s="9" t="s">
        <v>9</v>
      </c>
      <c r="LH16" s="9" t="s">
        <v>9</v>
      </c>
      <c r="LI16" s="9" t="s">
        <v>9</v>
      </c>
      <c r="LJ16" s="9" t="s">
        <v>9</v>
      </c>
      <c r="LK16" s="9" t="s">
        <v>9</v>
      </c>
      <c r="LL16" s="9" t="s">
        <v>9</v>
      </c>
      <c r="LM16" s="9" t="s">
        <v>9</v>
      </c>
      <c r="LN16" s="9" t="s">
        <v>9</v>
      </c>
      <c r="LO16" s="9" t="s">
        <v>9</v>
      </c>
      <c r="LP16" s="9" t="s">
        <v>9</v>
      </c>
      <c r="LQ16" s="9" t="s">
        <v>9</v>
      </c>
      <c r="LR16" s="9" t="s">
        <v>9</v>
      </c>
      <c r="LS16" s="9" t="s">
        <v>9</v>
      </c>
      <c r="LT16" s="9" t="s">
        <v>9</v>
      </c>
      <c r="LU16" s="9" t="s">
        <v>9</v>
      </c>
      <c r="LV16" s="9" t="s">
        <v>9</v>
      </c>
      <c r="LW16" s="9" t="s">
        <v>9</v>
      </c>
      <c r="LX16" s="9" t="s">
        <v>9</v>
      </c>
      <c r="LY16" s="9" t="s">
        <v>9</v>
      </c>
      <c r="LZ16" s="9" t="s">
        <v>9</v>
      </c>
      <c r="MA16" s="9" t="s">
        <v>9</v>
      </c>
      <c r="MB16" s="9" t="s">
        <v>9</v>
      </c>
      <c r="MC16" s="9" t="s">
        <v>9</v>
      </c>
      <c r="MD16" s="9" t="s">
        <v>9</v>
      </c>
      <c r="ME16" s="9" t="s">
        <v>9</v>
      </c>
      <c r="MF16" s="9" t="s">
        <v>9</v>
      </c>
      <c r="MG16" s="9" t="s">
        <v>9</v>
      </c>
      <c r="MH16" s="9" t="s">
        <v>9</v>
      </c>
      <c r="MI16" s="9" t="s">
        <v>9</v>
      </c>
      <c r="MJ16" s="9" t="s">
        <v>9</v>
      </c>
      <c r="MK16" s="9" t="s">
        <v>9</v>
      </c>
      <c r="ML16" s="9" t="s">
        <v>9</v>
      </c>
      <c r="MM16" s="9" t="s">
        <v>9</v>
      </c>
      <c r="MN16" s="9" t="s">
        <v>9</v>
      </c>
      <c r="MO16" s="9" t="s">
        <v>9</v>
      </c>
      <c r="MP16" s="9" t="s">
        <v>9</v>
      </c>
      <c r="MQ16" s="9" t="s">
        <v>9</v>
      </c>
      <c r="MR16" s="9" t="s">
        <v>9</v>
      </c>
      <c r="MS16" s="9" t="s">
        <v>9</v>
      </c>
      <c r="MT16" s="9" t="s">
        <v>9</v>
      </c>
      <c r="MU16" s="9" t="s">
        <v>9</v>
      </c>
      <c r="MV16" s="9" t="s">
        <v>9</v>
      </c>
      <c r="MW16" s="9" t="s">
        <v>9</v>
      </c>
      <c r="MX16" s="9" t="s">
        <v>9</v>
      </c>
      <c r="MY16" s="9" t="s">
        <v>9</v>
      </c>
      <c r="MZ16" s="9" t="s">
        <v>9</v>
      </c>
      <c r="NA16" s="9" t="s">
        <v>9</v>
      </c>
      <c r="NB16" s="9" t="s">
        <v>9</v>
      </c>
      <c r="NC16" s="9" t="s">
        <v>9</v>
      </c>
      <c r="ND16" s="9" t="s">
        <v>9</v>
      </c>
      <c r="NE16" s="9" t="s">
        <v>9</v>
      </c>
      <c r="NF16" s="9" t="s">
        <v>9</v>
      </c>
    </row>
    <row r="17" spans="2:370" ht="15.75" x14ac:dyDescent="0.25">
      <c r="B17" s="15">
        <v>1</v>
      </c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2"/>
      <c r="BE17" s="122"/>
      <c r="BF17" s="122"/>
      <c r="BG17" s="122"/>
      <c r="BH17" s="122"/>
      <c r="BI17" s="122"/>
      <c r="BJ17" s="122"/>
      <c r="BK17" s="122"/>
      <c r="BL17" s="122"/>
      <c r="BM17" s="122"/>
      <c r="BN17" s="122"/>
      <c r="BO17" s="122"/>
      <c r="BP17" s="122"/>
      <c r="BQ17" s="122"/>
      <c r="BR17" s="122"/>
      <c r="BS17" s="122"/>
      <c r="BT17" s="122"/>
      <c r="BU17" s="122"/>
      <c r="BV17" s="122"/>
      <c r="BW17" s="122"/>
      <c r="BX17" s="122"/>
      <c r="BY17" s="122"/>
      <c r="BZ17" s="122"/>
      <c r="CA17" s="122"/>
      <c r="CB17" s="122"/>
      <c r="CC17" s="122"/>
      <c r="CD17" s="122"/>
      <c r="CE17" s="122"/>
      <c r="CF17" s="122"/>
      <c r="CG17" s="122"/>
      <c r="CH17" s="122"/>
      <c r="CI17" s="122"/>
      <c r="CJ17" s="122"/>
      <c r="CK17" s="122"/>
      <c r="CL17" s="122"/>
      <c r="CM17" s="122"/>
      <c r="CN17" s="122"/>
      <c r="CO17" s="122"/>
      <c r="CP17" s="122"/>
      <c r="CQ17" s="122"/>
      <c r="CR17" s="122"/>
      <c r="CS17" s="122"/>
      <c r="CT17" s="122"/>
      <c r="CU17" s="122"/>
      <c r="CV17" s="122"/>
      <c r="CW17" s="122"/>
      <c r="CX17" s="122"/>
      <c r="CY17" s="122"/>
      <c r="CZ17" s="122"/>
      <c r="DA17" s="122"/>
      <c r="DB17" s="122"/>
      <c r="DC17" s="122"/>
      <c r="DD17" s="122"/>
      <c r="DE17" s="122"/>
      <c r="DF17" s="122"/>
      <c r="DG17" s="122"/>
      <c r="DH17" s="122"/>
      <c r="DI17" s="122"/>
      <c r="DJ17" s="122"/>
      <c r="DK17" s="122"/>
      <c r="DL17" s="122"/>
      <c r="DM17" s="122"/>
      <c r="DN17" s="122"/>
      <c r="DO17" s="122"/>
      <c r="DP17" s="122"/>
      <c r="DQ17" s="122"/>
      <c r="DR17" s="122"/>
      <c r="DS17" s="122"/>
      <c r="DT17" s="122"/>
      <c r="DU17" s="122"/>
      <c r="DV17" s="122"/>
      <c r="DW17" s="122"/>
      <c r="DX17" s="122"/>
      <c r="DY17" s="122"/>
      <c r="DZ17" s="122"/>
      <c r="EA17" s="122"/>
      <c r="EB17" s="122"/>
      <c r="EC17" s="122"/>
      <c r="ED17" s="122"/>
      <c r="EE17" s="122"/>
      <c r="EF17" s="122"/>
      <c r="EG17" s="122"/>
      <c r="EH17" s="122"/>
      <c r="EI17" s="122"/>
      <c r="EJ17" s="122"/>
      <c r="EK17" s="122"/>
      <c r="EL17" s="122"/>
      <c r="EM17" s="122"/>
      <c r="EN17" s="122"/>
      <c r="EO17" s="122"/>
      <c r="EP17" s="122"/>
      <c r="EQ17" s="122"/>
      <c r="ER17" s="122"/>
      <c r="ES17" s="122"/>
      <c r="ET17" s="122"/>
      <c r="EU17" s="122"/>
      <c r="EV17" s="122"/>
      <c r="EW17" s="122"/>
      <c r="EX17" s="122"/>
      <c r="EY17" s="122"/>
      <c r="EZ17" s="122"/>
      <c r="FA17" s="122"/>
      <c r="FB17" s="122"/>
      <c r="FC17" s="122"/>
      <c r="FD17" s="122"/>
      <c r="FE17" s="122"/>
      <c r="FF17" s="122"/>
      <c r="FG17" s="122"/>
      <c r="FH17" s="122"/>
      <c r="FI17" s="122"/>
      <c r="FJ17" s="122"/>
      <c r="FK17" s="122"/>
      <c r="FL17" s="122"/>
      <c r="FM17" s="122"/>
      <c r="FN17" s="122"/>
      <c r="FO17" s="122"/>
      <c r="FP17" s="122"/>
      <c r="FQ17" s="122"/>
      <c r="FR17" s="122"/>
      <c r="FS17" s="122"/>
      <c r="FT17" s="122"/>
      <c r="FU17" s="122"/>
      <c r="FV17" s="122"/>
      <c r="FW17" s="122"/>
      <c r="FX17" s="122"/>
      <c r="FY17" s="122"/>
      <c r="FZ17" s="122"/>
      <c r="GA17" s="122"/>
      <c r="GB17" s="122"/>
      <c r="GC17" s="122"/>
      <c r="GD17" s="122"/>
      <c r="GE17" s="122"/>
      <c r="GF17" s="122"/>
      <c r="GG17" s="122"/>
      <c r="GH17" s="122"/>
      <c r="GI17" s="122"/>
      <c r="GJ17" s="122"/>
      <c r="GK17" s="122"/>
      <c r="GL17" s="122"/>
      <c r="GM17" s="122"/>
      <c r="GN17" s="122"/>
      <c r="GO17" s="122"/>
      <c r="GP17" s="122"/>
      <c r="GQ17" s="122"/>
      <c r="GR17" s="122"/>
      <c r="GS17" s="122"/>
      <c r="GT17" s="122"/>
      <c r="GU17" s="122"/>
      <c r="GV17" s="122"/>
      <c r="GW17" s="122"/>
      <c r="GX17" s="122"/>
      <c r="GY17" s="122"/>
      <c r="GZ17" s="122"/>
      <c r="HA17" s="122"/>
      <c r="HB17" s="122"/>
      <c r="HC17" s="122"/>
      <c r="HD17" s="122"/>
      <c r="HE17" s="122"/>
      <c r="HF17" s="122"/>
      <c r="HG17" s="122"/>
      <c r="HH17" s="122"/>
      <c r="HI17" s="122"/>
      <c r="HJ17" s="122"/>
      <c r="HK17" s="122"/>
      <c r="HL17" s="122"/>
      <c r="HM17" s="122"/>
      <c r="HN17" s="122"/>
      <c r="HO17" s="122"/>
      <c r="HP17" s="122"/>
      <c r="HQ17" s="122"/>
      <c r="HR17" s="122"/>
      <c r="HS17" s="122"/>
      <c r="HT17" s="122"/>
      <c r="HU17" s="122"/>
      <c r="HV17" s="122"/>
      <c r="HW17" s="122"/>
      <c r="HX17" s="122"/>
      <c r="HY17" s="122"/>
      <c r="HZ17" s="122"/>
      <c r="IA17" s="122"/>
      <c r="IB17" s="122"/>
      <c r="IC17" s="122"/>
      <c r="ID17" s="122"/>
      <c r="IE17" s="122"/>
      <c r="IF17" s="122"/>
      <c r="IG17" s="122"/>
      <c r="IH17" s="122"/>
      <c r="II17" s="122"/>
      <c r="IJ17" s="122"/>
      <c r="IK17" s="122"/>
      <c r="IL17" s="122"/>
      <c r="IM17" s="122"/>
      <c r="IN17" s="122"/>
      <c r="IO17" s="122"/>
      <c r="IP17" s="122"/>
      <c r="IQ17" s="122"/>
      <c r="IR17" s="122"/>
      <c r="IS17" s="122"/>
      <c r="IT17" s="122"/>
      <c r="IU17" s="122"/>
      <c r="IV17" s="122"/>
      <c r="IW17" s="122"/>
      <c r="IX17" s="122"/>
      <c r="IY17" s="122"/>
      <c r="IZ17" s="122"/>
      <c r="JA17" s="122"/>
      <c r="JB17" s="122"/>
      <c r="JC17" s="122"/>
      <c r="JD17" s="122"/>
      <c r="JE17" s="122"/>
      <c r="JF17" s="122"/>
      <c r="JG17" s="122"/>
      <c r="JH17" s="122"/>
      <c r="JI17" s="122"/>
      <c r="JJ17" s="122"/>
      <c r="JK17" s="122"/>
      <c r="JL17" s="122"/>
      <c r="JM17" s="122"/>
      <c r="JN17" s="122"/>
      <c r="JO17" s="122"/>
      <c r="JP17" s="122"/>
      <c r="JQ17" s="122"/>
      <c r="JR17" s="122"/>
      <c r="JS17" s="122"/>
      <c r="JT17" s="122"/>
      <c r="JU17" s="122"/>
      <c r="JV17" s="122"/>
      <c r="JW17" s="122"/>
      <c r="JX17" s="122"/>
      <c r="JY17" s="122"/>
      <c r="JZ17" s="122"/>
      <c r="KA17" s="122"/>
      <c r="KB17" s="122"/>
      <c r="KC17" s="122"/>
      <c r="KD17" s="122"/>
      <c r="KE17" s="122"/>
      <c r="KF17" s="122"/>
      <c r="KG17" s="122"/>
      <c r="KH17" s="122"/>
      <c r="KI17" s="122"/>
      <c r="KJ17" s="122"/>
      <c r="KK17" s="122"/>
      <c r="KL17" s="122"/>
      <c r="KM17" s="122"/>
      <c r="KN17" s="122"/>
      <c r="KO17" s="122"/>
      <c r="KP17" s="122"/>
      <c r="KQ17" s="122"/>
      <c r="KR17" s="122"/>
      <c r="KS17" s="122"/>
      <c r="KT17" s="122"/>
      <c r="KU17" s="122"/>
      <c r="KV17" s="122"/>
      <c r="KW17" s="122"/>
      <c r="KX17" s="122"/>
      <c r="KY17" s="122"/>
      <c r="KZ17" s="122"/>
      <c r="LA17" s="122"/>
      <c r="LB17" s="122"/>
      <c r="LC17" s="122"/>
      <c r="LD17" s="122"/>
      <c r="LE17" s="122"/>
      <c r="LF17" s="122"/>
      <c r="LG17" s="122"/>
      <c r="LH17" s="122"/>
      <c r="LI17" s="122"/>
      <c r="LJ17" s="122"/>
      <c r="LK17" s="122"/>
      <c r="LL17" s="122"/>
      <c r="LM17" s="122"/>
      <c r="LN17" s="122"/>
      <c r="LO17" s="122"/>
      <c r="LP17" s="122"/>
      <c r="LQ17" s="122"/>
      <c r="LR17" s="122"/>
      <c r="LS17" s="122"/>
      <c r="LT17" s="122"/>
      <c r="LU17" s="122"/>
      <c r="LV17" s="122"/>
      <c r="LW17" s="122"/>
      <c r="LX17" s="122"/>
      <c r="LY17" s="122"/>
      <c r="LZ17" s="122"/>
      <c r="MA17" s="122"/>
      <c r="MB17" s="122"/>
      <c r="MC17" s="122"/>
      <c r="MD17" s="122"/>
      <c r="ME17" s="122"/>
      <c r="MF17" s="122"/>
      <c r="MG17" s="122"/>
      <c r="MH17" s="122"/>
      <c r="MI17" s="122"/>
      <c r="MJ17" s="122"/>
      <c r="MK17" s="122"/>
      <c r="ML17" s="122"/>
      <c r="MM17" s="122"/>
      <c r="MN17" s="122"/>
      <c r="MO17" s="122"/>
      <c r="MP17" s="122"/>
      <c r="MQ17" s="122"/>
      <c r="MR17" s="122"/>
      <c r="MS17" s="122"/>
      <c r="MT17" s="122"/>
      <c r="MU17" s="122"/>
      <c r="MV17" s="122"/>
      <c r="MW17" s="122"/>
      <c r="MX17" s="122"/>
      <c r="MY17" s="122"/>
      <c r="MZ17" s="122"/>
      <c r="NA17" s="122"/>
      <c r="NB17" s="122"/>
      <c r="NC17" s="122"/>
      <c r="ND17" s="122"/>
      <c r="NE17" s="157"/>
      <c r="NF17" s="122"/>
    </row>
    <row r="18" spans="2:370" ht="15.75" x14ac:dyDescent="0.25">
      <c r="B18" s="14">
        <v>2</v>
      </c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123"/>
      <c r="KJ18" s="123"/>
      <c r="KK18" s="123"/>
      <c r="KL18" s="123"/>
      <c r="KM18" s="123"/>
      <c r="KN18" s="123"/>
      <c r="KO18" s="123"/>
      <c r="KP18" s="123"/>
      <c r="KQ18" s="123"/>
      <c r="KR18" s="123"/>
      <c r="KS18" s="123"/>
      <c r="KT18" s="123"/>
      <c r="KU18" s="123"/>
      <c r="KV18" s="123"/>
      <c r="KW18" s="123"/>
      <c r="KX18" s="123"/>
      <c r="KY18" s="123"/>
      <c r="KZ18" s="123"/>
      <c r="LA18" s="123"/>
      <c r="LB18" s="123"/>
      <c r="LC18" s="123"/>
      <c r="LD18" s="123"/>
      <c r="LE18" s="123"/>
      <c r="LF18" s="123"/>
      <c r="LG18" s="123"/>
      <c r="LH18" s="123"/>
      <c r="LI18" s="123"/>
      <c r="LJ18" s="123"/>
      <c r="LK18" s="123"/>
      <c r="LL18" s="123"/>
      <c r="LM18" s="123"/>
      <c r="LN18" s="123"/>
      <c r="LO18" s="123"/>
      <c r="LP18" s="123"/>
      <c r="LQ18" s="123"/>
      <c r="LR18" s="123"/>
      <c r="LS18" s="123"/>
      <c r="LT18" s="123"/>
      <c r="LU18" s="123"/>
      <c r="LV18" s="123"/>
      <c r="LW18" s="123"/>
      <c r="LX18" s="123"/>
      <c r="LY18" s="123"/>
      <c r="LZ18" s="123"/>
      <c r="MA18" s="123"/>
      <c r="MB18" s="123"/>
      <c r="MC18" s="123"/>
      <c r="MD18" s="123"/>
      <c r="ME18" s="123"/>
      <c r="MF18" s="123"/>
      <c r="MG18" s="123"/>
      <c r="MH18" s="123"/>
      <c r="MI18" s="123"/>
      <c r="MJ18" s="123"/>
      <c r="MK18" s="123"/>
      <c r="ML18" s="123"/>
      <c r="MM18" s="123"/>
      <c r="MN18" s="123"/>
      <c r="MO18" s="123"/>
      <c r="MP18" s="123"/>
      <c r="MQ18" s="123"/>
      <c r="MR18" s="123"/>
      <c r="MS18" s="123"/>
      <c r="MT18" s="123"/>
      <c r="MU18" s="123"/>
      <c r="MV18" s="123"/>
      <c r="MW18" s="123"/>
      <c r="MX18" s="123"/>
      <c r="MY18" s="123"/>
      <c r="MZ18" s="123"/>
      <c r="NA18" s="123"/>
      <c r="NB18" s="123"/>
      <c r="NC18" s="123"/>
      <c r="ND18" s="123"/>
      <c r="NE18" s="126"/>
      <c r="NF18" s="123"/>
    </row>
    <row r="19" spans="2:370" ht="15.75" x14ac:dyDescent="0.25">
      <c r="B19" s="14">
        <v>3</v>
      </c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3"/>
      <c r="DM19" s="123"/>
      <c r="DN19" s="123"/>
      <c r="DO19" s="123"/>
      <c r="DP19" s="123"/>
      <c r="DQ19" s="123"/>
      <c r="DR19" s="123"/>
      <c r="DS19" s="123"/>
      <c r="DT19" s="123"/>
      <c r="DU19" s="123"/>
      <c r="DV19" s="123"/>
      <c r="DW19" s="123"/>
      <c r="DX19" s="123"/>
      <c r="DY19" s="123"/>
      <c r="DZ19" s="123"/>
      <c r="EA19" s="123"/>
      <c r="EB19" s="123"/>
      <c r="EC19" s="123"/>
      <c r="ED19" s="123"/>
      <c r="EE19" s="123"/>
      <c r="EF19" s="123"/>
      <c r="EG19" s="123"/>
      <c r="EH19" s="123"/>
      <c r="EI19" s="123"/>
      <c r="EJ19" s="123"/>
      <c r="EK19" s="123"/>
      <c r="EL19" s="123"/>
      <c r="EM19" s="123"/>
      <c r="EN19" s="123"/>
      <c r="EO19" s="123"/>
      <c r="EP19" s="123"/>
      <c r="EQ19" s="123"/>
      <c r="ER19" s="123"/>
      <c r="ES19" s="123"/>
      <c r="ET19" s="123"/>
      <c r="EU19" s="123"/>
      <c r="EV19" s="123"/>
      <c r="EW19" s="123"/>
      <c r="EX19" s="123"/>
      <c r="EY19" s="123"/>
      <c r="EZ19" s="123"/>
      <c r="FA19" s="123"/>
      <c r="FB19" s="123"/>
      <c r="FC19" s="123"/>
      <c r="FD19" s="123"/>
      <c r="FE19" s="123"/>
      <c r="FF19" s="123"/>
      <c r="FG19" s="123"/>
      <c r="FH19" s="123"/>
      <c r="FI19" s="123"/>
      <c r="FJ19" s="123"/>
      <c r="FK19" s="123"/>
      <c r="FL19" s="123"/>
      <c r="FM19" s="123"/>
      <c r="FN19" s="123"/>
      <c r="FO19" s="123"/>
      <c r="FP19" s="123"/>
      <c r="FQ19" s="123"/>
      <c r="FR19" s="123"/>
      <c r="FS19" s="123"/>
      <c r="FT19" s="123"/>
      <c r="FU19" s="123"/>
      <c r="FV19" s="123"/>
      <c r="FW19" s="123"/>
      <c r="FX19" s="123"/>
      <c r="FY19" s="123"/>
      <c r="FZ19" s="123"/>
      <c r="GA19" s="123"/>
      <c r="GB19" s="123"/>
      <c r="GC19" s="123"/>
      <c r="GD19" s="123"/>
      <c r="GE19" s="123"/>
      <c r="GF19" s="123"/>
      <c r="GG19" s="123"/>
      <c r="GH19" s="123"/>
      <c r="GI19" s="123"/>
      <c r="GJ19" s="123"/>
      <c r="GK19" s="123"/>
      <c r="GL19" s="123"/>
      <c r="GM19" s="123"/>
      <c r="GN19" s="123"/>
      <c r="GO19" s="123"/>
      <c r="GP19" s="123"/>
      <c r="GQ19" s="123"/>
      <c r="GR19" s="123"/>
      <c r="GS19" s="123"/>
      <c r="GT19" s="123"/>
      <c r="GU19" s="123"/>
      <c r="GV19" s="123"/>
      <c r="GW19" s="123"/>
      <c r="GX19" s="123"/>
      <c r="GY19" s="123"/>
      <c r="GZ19" s="123"/>
      <c r="HA19" s="123"/>
      <c r="HB19" s="123"/>
      <c r="HC19" s="123"/>
      <c r="HD19" s="123"/>
      <c r="HE19" s="123"/>
      <c r="HF19" s="123"/>
      <c r="HG19" s="123"/>
      <c r="HH19" s="123"/>
      <c r="HI19" s="123"/>
      <c r="HJ19" s="123"/>
      <c r="HK19" s="123"/>
      <c r="HL19" s="123"/>
      <c r="HM19" s="123"/>
      <c r="HN19" s="123"/>
      <c r="HO19" s="123"/>
      <c r="HP19" s="123"/>
      <c r="HQ19" s="123"/>
      <c r="HR19" s="123"/>
      <c r="HS19" s="123"/>
      <c r="HT19" s="123"/>
      <c r="HU19" s="123"/>
      <c r="HV19" s="123"/>
      <c r="HW19" s="123"/>
      <c r="HX19" s="123"/>
      <c r="HY19" s="123"/>
      <c r="HZ19" s="123"/>
      <c r="IA19" s="123"/>
      <c r="IB19" s="123"/>
      <c r="IC19" s="123"/>
      <c r="ID19" s="123"/>
      <c r="IE19" s="123"/>
      <c r="IF19" s="123"/>
      <c r="IG19" s="123"/>
      <c r="IH19" s="123"/>
      <c r="II19" s="123"/>
      <c r="IJ19" s="123"/>
      <c r="IK19" s="123"/>
      <c r="IL19" s="123"/>
      <c r="IM19" s="123"/>
      <c r="IN19" s="123"/>
      <c r="IO19" s="123"/>
      <c r="IP19" s="123"/>
      <c r="IQ19" s="123"/>
      <c r="IR19" s="123"/>
      <c r="IS19" s="123"/>
      <c r="IT19" s="123"/>
      <c r="IU19" s="123"/>
      <c r="IV19" s="123"/>
      <c r="IW19" s="123"/>
      <c r="IX19" s="123"/>
      <c r="IY19" s="123"/>
      <c r="IZ19" s="123"/>
      <c r="JA19" s="123"/>
      <c r="JB19" s="123"/>
      <c r="JC19" s="123"/>
      <c r="JD19" s="123"/>
      <c r="JE19" s="123"/>
      <c r="JF19" s="123"/>
      <c r="JG19" s="123"/>
      <c r="JH19" s="123"/>
      <c r="JI19" s="123"/>
      <c r="JJ19" s="123"/>
      <c r="JK19" s="123"/>
      <c r="JL19" s="123"/>
      <c r="JM19" s="123"/>
      <c r="JN19" s="123"/>
      <c r="JO19" s="123"/>
      <c r="JP19" s="123"/>
      <c r="JQ19" s="123"/>
      <c r="JR19" s="123"/>
      <c r="JS19" s="123"/>
      <c r="JT19" s="123"/>
      <c r="JU19" s="123"/>
      <c r="JV19" s="123"/>
      <c r="JW19" s="123"/>
      <c r="JX19" s="123"/>
      <c r="JY19" s="123"/>
      <c r="JZ19" s="123"/>
      <c r="KA19" s="123"/>
      <c r="KB19" s="123"/>
      <c r="KC19" s="123"/>
      <c r="KD19" s="123"/>
      <c r="KE19" s="123"/>
      <c r="KF19" s="123"/>
      <c r="KG19" s="123"/>
      <c r="KH19" s="123"/>
      <c r="KI19" s="123"/>
      <c r="KJ19" s="123"/>
      <c r="KK19" s="123"/>
      <c r="KL19" s="123"/>
      <c r="KM19" s="123"/>
      <c r="KN19" s="123"/>
      <c r="KO19" s="123"/>
      <c r="KP19" s="123"/>
      <c r="KQ19" s="123"/>
      <c r="KR19" s="123"/>
      <c r="KS19" s="123"/>
      <c r="KT19" s="123"/>
      <c r="KU19" s="123"/>
      <c r="KV19" s="123"/>
      <c r="KW19" s="123"/>
      <c r="KX19" s="123"/>
      <c r="KY19" s="123"/>
      <c r="KZ19" s="123"/>
      <c r="LA19" s="123"/>
      <c r="LB19" s="123"/>
      <c r="LC19" s="123"/>
      <c r="LD19" s="123"/>
      <c r="LE19" s="123"/>
      <c r="LF19" s="123"/>
      <c r="LG19" s="123"/>
      <c r="LH19" s="123"/>
      <c r="LI19" s="123"/>
      <c r="LJ19" s="123"/>
      <c r="LK19" s="123"/>
      <c r="LL19" s="123"/>
      <c r="LM19" s="123"/>
      <c r="LN19" s="123"/>
      <c r="LO19" s="123"/>
      <c r="LP19" s="123"/>
      <c r="LQ19" s="123"/>
      <c r="LR19" s="123"/>
      <c r="LS19" s="123"/>
      <c r="LT19" s="123"/>
      <c r="LU19" s="123"/>
      <c r="LV19" s="123"/>
      <c r="LW19" s="123"/>
      <c r="LX19" s="123"/>
      <c r="LY19" s="123"/>
      <c r="LZ19" s="123"/>
      <c r="MA19" s="123"/>
      <c r="MB19" s="123"/>
      <c r="MC19" s="123"/>
      <c r="MD19" s="123"/>
      <c r="ME19" s="123"/>
      <c r="MF19" s="123"/>
      <c r="MG19" s="123"/>
      <c r="MH19" s="123"/>
      <c r="MI19" s="123"/>
      <c r="MJ19" s="123"/>
      <c r="MK19" s="123"/>
      <c r="ML19" s="123"/>
      <c r="MM19" s="123"/>
      <c r="MN19" s="123"/>
      <c r="MO19" s="123"/>
      <c r="MP19" s="123"/>
      <c r="MQ19" s="123"/>
      <c r="MR19" s="123"/>
      <c r="MS19" s="123"/>
      <c r="MT19" s="123"/>
      <c r="MU19" s="123"/>
      <c r="MV19" s="123"/>
      <c r="MW19" s="123"/>
      <c r="MX19" s="123"/>
      <c r="MY19" s="123"/>
      <c r="MZ19" s="123"/>
      <c r="NA19" s="123"/>
      <c r="NB19" s="123"/>
      <c r="NC19" s="123"/>
      <c r="ND19" s="123"/>
      <c r="NE19" s="126"/>
      <c r="NF19" s="123"/>
    </row>
    <row r="20" spans="2:370" ht="15.75" x14ac:dyDescent="0.25">
      <c r="B20" s="14">
        <v>4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/>
      <c r="DC20" s="123"/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3"/>
      <c r="DO20" s="123"/>
      <c r="DP20" s="123"/>
      <c r="DQ20" s="123"/>
      <c r="DR20" s="123"/>
      <c r="DS20" s="123"/>
      <c r="DT20" s="123"/>
      <c r="DU20" s="123"/>
      <c r="DV20" s="123"/>
      <c r="DW20" s="123"/>
      <c r="DX20" s="123"/>
      <c r="DY20" s="123"/>
      <c r="DZ20" s="123"/>
      <c r="EA20" s="123"/>
      <c r="EB20" s="123"/>
      <c r="EC20" s="123"/>
      <c r="ED20" s="123"/>
      <c r="EE20" s="123"/>
      <c r="EF20" s="123"/>
      <c r="EG20" s="123"/>
      <c r="EH20" s="123"/>
      <c r="EI20" s="123"/>
      <c r="EJ20" s="123"/>
      <c r="EK20" s="123"/>
      <c r="EL20" s="123"/>
      <c r="EM20" s="123"/>
      <c r="EN20" s="123"/>
      <c r="EO20" s="123"/>
      <c r="EP20" s="123"/>
      <c r="EQ20" s="123"/>
      <c r="ER20" s="123"/>
      <c r="ES20" s="123"/>
      <c r="ET20" s="123"/>
      <c r="EU20" s="123"/>
      <c r="EV20" s="123"/>
      <c r="EW20" s="123"/>
      <c r="EX20" s="123"/>
      <c r="EY20" s="123"/>
      <c r="EZ20" s="123"/>
      <c r="FA20" s="123"/>
      <c r="FB20" s="123"/>
      <c r="FC20" s="123"/>
      <c r="FD20" s="123"/>
      <c r="FE20" s="123"/>
      <c r="FF20" s="123"/>
      <c r="FG20" s="123"/>
      <c r="FH20" s="123"/>
      <c r="FI20" s="123"/>
      <c r="FJ20" s="123"/>
      <c r="FK20" s="123"/>
      <c r="FL20" s="123"/>
      <c r="FM20" s="123"/>
      <c r="FN20" s="123"/>
      <c r="FO20" s="123"/>
      <c r="FP20" s="123"/>
      <c r="FQ20" s="123"/>
      <c r="FR20" s="123"/>
      <c r="FS20" s="123"/>
      <c r="FT20" s="123"/>
      <c r="FU20" s="123"/>
      <c r="FV20" s="123"/>
      <c r="FW20" s="123"/>
      <c r="FX20" s="123"/>
      <c r="FY20" s="123"/>
      <c r="FZ20" s="123"/>
      <c r="GA20" s="123"/>
      <c r="GB20" s="123"/>
      <c r="GC20" s="123"/>
      <c r="GD20" s="123"/>
      <c r="GE20" s="123"/>
      <c r="GF20" s="123"/>
      <c r="GG20" s="123"/>
      <c r="GH20" s="123"/>
      <c r="GI20" s="123"/>
      <c r="GJ20" s="123"/>
      <c r="GK20" s="123"/>
      <c r="GL20" s="123"/>
      <c r="GM20" s="123"/>
      <c r="GN20" s="123"/>
      <c r="GO20" s="123"/>
      <c r="GP20" s="123"/>
      <c r="GQ20" s="123"/>
      <c r="GR20" s="123"/>
      <c r="GS20" s="123"/>
      <c r="GT20" s="123"/>
      <c r="GU20" s="123"/>
      <c r="GV20" s="123"/>
      <c r="GW20" s="123"/>
      <c r="GX20" s="123"/>
      <c r="GY20" s="123"/>
      <c r="GZ20" s="123"/>
      <c r="HA20" s="123"/>
      <c r="HB20" s="123"/>
      <c r="HC20" s="123"/>
      <c r="HD20" s="123"/>
      <c r="HE20" s="123"/>
      <c r="HF20" s="123"/>
      <c r="HG20" s="123"/>
      <c r="HH20" s="123"/>
      <c r="HI20" s="123"/>
      <c r="HJ20" s="123"/>
      <c r="HK20" s="123"/>
      <c r="HL20" s="123"/>
      <c r="HM20" s="123"/>
      <c r="HN20" s="123"/>
      <c r="HO20" s="123"/>
      <c r="HP20" s="123"/>
      <c r="HQ20" s="123"/>
      <c r="HR20" s="123"/>
      <c r="HS20" s="123"/>
      <c r="HT20" s="123"/>
      <c r="HU20" s="123"/>
      <c r="HV20" s="123"/>
      <c r="HW20" s="123"/>
      <c r="HX20" s="123"/>
      <c r="HY20" s="123"/>
      <c r="HZ20" s="123"/>
      <c r="IA20" s="123"/>
      <c r="IB20" s="123"/>
      <c r="IC20" s="123"/>
      <c r="ID20" s="123"/>
      <c r="IE20" s="123"/>
      <c r="IF20" s="123"/>
      <c r="IG20" s="123"/>
      <c r="IH20" s="123"/>
      <c r="II20" s="123"/>
      <c r="IJ20" s="123"/>
      <c r="IK20" s="123"/>
      <c r="IL20" s="123"/>
      <c r="IM20" s="123"/>
      <c r="IN20" s="123"/>
      <c r="IO20" s="123"/>
      <c r="IP20" s="123"/>
      <c r="IQ20" s="123"/>
      <c r="IR20" s="123"/>
      <c r="IS20" s="123"/>
      <c r="IT20" s="123"/>
      <c r="IU20" s="123"/>
      <c r="IV20" s="123"/>
      <c r="IW20" s="123"/>
      <c r="IX20" s="123"/>
      <c r="IY20" s="123"/>
      <c r="IZ20" s="123"/>
      <c r="JA20" s="123"/>
      <c r="JB20" s="123"/>
      <c r="JC20" s="123"/>
      <c r="JD20" s="123"/>
      <c r="JE20" s="123"/>
      <c r="JF20" s="123"/>
      <c r="JG20" s="123"/>
      <c r="JH20" s="123"/>
      <c r="JI20" s="123"/>
      <c r="JJ20" s="123"/>
      <c r="JK20" s="123"/>
      <c r="JL20" s="123"/>
      <c r="JM20" s="123"/>
      <c r="JN20" s="123"/>
      <c r="JO20" s="123"/>
      <c r="JP20" s="123"/>
      <c r="JQ20" s="123"/>
      <c r="JR20" s="123"/>
      <c r="JS20" s="123"/>
      <c r="JT20" s="123"/>
      <c r="JU20" s="123"/>
      <c r="JV20" s="123"/>
      <c r="JW20" s="123"/>
      <c r="JX20" s="123"/>
      <c r="JY20" s="123"/>
      <c r="JZ20" s="123"/>
      <c r="KA20" s="123"/>
      <c r="KB20" s="123"/>
      <c r="KC20" s="123"/>
      <c r="KD20" s="123"/>
      <c r="KE20" s="123"/>
      <c r="KF20" s="123"/>
      <c r="KG20" s="123"/>
      <c r="KH20" s="123"/>
      <c r="KI20" s="123"/>
      <c r="KJ20" s="123"/>
      <c r="KK20" s="123"/>
      <c r="KL20" s="123"/>
      <c r="KM20" s="123"/>
      <c r="KN20" s="123"/>
      <c r="KO20" s="123"/>
      <c r="KP20" s="123"/>
      <c r="KQ20" s="123"/>
      <c r="KR20" s="123"/>
      <c r="KS20" s="123"/>
      <c r="KT20" s="123"/>
      <c r="KU20" s="123"/>
      <c r="KV20" s="123"/>
      <c r="KW20" s="123"/>
      <c r="KX20" s="123"/>
      <c r="KY20" s="123"/>
      <c r="KZ20" s="123"/>
      <c r="LA20" s="123"/>
      <c r="LB20" s="123"/>
      <c r="LC20" s="123"/>
      <c r="LD20" s="123"/>
      <c r="LE20" s="123"/>
      <c r="LF20" s="123"/>
      <c r="LG20" s="123"/>
      <c r="LH20" s="123"/>
      <c r="LI20" s="123"/>
      <c r="LJ20" s="123"/>
      <c r="LK20" s="123"/>
      <c r="LL20" s="123"/>
      <c r="LM20" s="123"/>
      <c r="LN20" s="123"/>
      <c r="LO20" s="123"/>
      <c r="LP20" s="123"/>
      <c r="LQ20" s="123"/>
      <c r="LR20" s="123"/>
      <c r="LS20" s="123"/>
      <c r="LT20" s="123"/>
      <c r="LU20" s="123"/>
      <c r="LV20" s="123"/>
      <c r="LW20" s="123"/>
      <c r="LX20" s="123"/>
      <c r="LY20" s="123"/>
      <c r="LZ20" s="123"/>
      <c r="MA20" s="123"/>
      <c r="MB20" s="123"/>
      <c r="MC20" s="123"/>
      <c r="MD20" s="123"/>
      <c r="ME20" s="123"/>
      <c r="MF20" s="123"/>
      <c r="MG20" s="123"/>
      <c r="MH20" s="123"/>
      <c r="MI20" s="123"/>
      <c r="MJ20" s="123"/>
      <c r="MK20" s="123"/>
      <c r="ML20" s="123"/>
      <c r="MM20" s="123"/>
      <c r="MN20" s="123"/>
      <c r="MO20" s="123"/>
      <c r="MP20" s="123"/>
      <c r="MQ20" s="123"/>
      <c r="MR20" s="123"/>
      <c r="MS20" s="123"/>
      <c r="MT20" s="123"/>
      <c r="MU20" s="123"/>
      <c r="MV20" s="123"/>
      <c r="MW20" s="123"/>
      <c r="MX20" s="123"/>
      <c r="MY20" s="123"/>
      <c r="MZ20" s="123"/>
      <c r="NA20" s="123"/>
      <c r="NB20" s="123"/>
      <c r="NC20" s="123"/>
      <c r="ND20" s="123"/>
      <c r="NE20" s="126"/>
      <c r="NF20" s="123"/>
    </row>
    <row r="21" spans="2:370" ht="15.75" x14ac:dyDescent="0.25">
      <c r="B21" s="14">
        <v>5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3"/>
      <c r="DO21" s="123"/>
      <c r="DP21" s="123"/>
      <c r="DQ21" s="123"/>
      <c r="DR21" s="123"/>
      <c r="DS21" s="123"/>
      <c r="DT21" s="123"/>
      <c r="DU21" s="123"/>
      <c r="DV21" s="123"/>
      <c r="DW21" s="123"/>
      <c r="DX21" s="123"/>
      <c r="DY21" s="123"/>
      <c r="DZ21" s="123"/>
      <c r="EA21" s="123"/>
      <c r="EB21" s="123"/>
      <c r="EC21" s="123"/>
      <c r="ED21" s="123"/>
      <c r="EE21" s="123"/>
      <c r="EF21" s="123"/>
      <c r="EG21" s="123"/>
      <c r="EH21" s="123"/>
      <c r="EI21" s="123"/>
      <c r="EJ21" s="123"/>
      <c r="EK21" s="123"/>
      <c r="EL21" s="123"/>
      <c r="EM21" s="123"/>
      <c r="EN21" s="123"/>
      <c r="EO21" s="123"/>
      <c r="EP21" s="123"/>
      <c r="EQ21" s="123"/>
      <c r="ER21" s="123"/>
      <c r="ES21" s="123"/>
      <c r="ET21" s="123"/>
      <c r="EU21" s="123"/>
      <c r="EV21" s="123"/>
      <c r="EW21" s="123"/>
      <c r="EX21" s="123"/>
      <c r="EY21" s="123"/>
      <c r="EZ21" s="123"/>
      <c r="FA21" s="123"/>
      <c r="FB21" s="123"/>
      <c r="FC21" s="123"/>
      <c r="FD21" s="123"/>
      <c r="FE21" s="123"/>
      <c r="FF21" s="123"/>
      <c r="FG21" s="123"/>
      <c r="FH21" s="123"/>
      <c r="FI21" s="123"/>
      <c r="FJ21" s="123"/>
      <c r="FK21" s="123"/>
      <c r="FL21" s="123"/>
      <c r="FM21" s="123"/>
      <c r="FN21" s="123"/>
      <c r="FO21" s="123"/>
      <c r="FP21" s="123"/>
      <c r="FQ21" s="123"/>
      <c r="FR21" s="123"/>
      <c r="FS21" s="123"/>
      <c r="FT21" s="123"/>
      <c r="FU21" s="123"/>
      <c r="FV21" s="123"/>
      <c r="FW21" s="123"/>
      <c r="FX21" s="123"/>
      <c r="FY21" s="123"/>
      <c r="FZ21" s="123"/>
      <c r="GA21" s="123"/>
      <c r="GB21" s="123"/>
      <c r="GC21" s="123"/>
      <c r="GD21" s="123"/>
      <c r="GE21" s="123"/>
      <c r="GF21" s="123"/>
      <c r="GG21" s="123"/>
      <c r="GH21" s="123"/>
      <c r="GI21" s="123"/>
      <c r="GJ21" s="123"/>
      <c r="GK21" s="123"/>
      <c r="GL21" s="123"/>
      <c r="GM21" s="123"/>
      <c r="GN21" s="123"/>
      <c r="GO21" s="123"/>
      <c r="GP21" s="123"/>
      <c r="GQ21" s="123"/>
      <c r="GR21" s="123"/>
      <c r="GS21" s="123"/>
      <c r="GT21" s="123"/>
      <c r="GU21" s="123"/>
      <c r="GV21" s="123"/>
      <c r="GW21" s="123"/>
      <c r="GX21" s="123"/>
      <c r="GY21" s="123"/>
      <c r="GZ21" s="123"/>
      <c r="HA21" s="123"/>
      <c r="HB21" s="123"/>
      <c r="HC21" s="123"/>
      <c r="HD21" s="123"/>
      <c r="HE21" s="123"/>
      <c r="HF21" s="123"/>
      <c r="HG21" s="123"/>
      <c r="HH21" s="123"/>
      <c r="HI21" s="123"/>
      <c r="HJ21" s="123"/>
      <c r="HK21" s="123"/>
      <c r="HL21" s="123"/>
      <c r="HM21" s="123"/>
      <c r="HN21" s="123"/>
      <c r="HO21" s="123"/>
      <c r="HP21" s="123"/>
      <c r="HQ21" s="123"/>
      <c r="HR21" s="123"/>
      <c r="HS21" s="123"/>
      <c r="HT21" s="123"/>
      <c r="HU21" s="123"/>
      <c r="HV21" s="123"/>
      <c r="HW21" s="123"/>
      <c r="HX21" s="123"/>
      <c r="HY21" s="123"/>
      <c r="HZ21" s="123"/>
      <c r="IA21" s="123"/>
      <c r="IB21" s="123"/>
      <c r="IC21" s="123"/>
      <c r="ID21" s="123"/>
      <c r="IE21" s="123"/>
      <c r="IF21" s="123"/>
      <c r="IG21" s="123"/>
      <c r="IH21" s="123"/>
      <c r="II21" s="123"/>
      <c r="IJ21" s="123"/>
      <c r="IK21" s="123"/>
      <c r="IL21" s="123"/>
      <c r="IM21" s="123"/>
      <c r="IN21" s="123"/>
      <c r="IO21" s="123"/>
      <c r="IP21" s="123"/>
      <c r="IQ21" s="123"/>
      <c r="IR21" s="123"/>
      <c r="IS21" s="123"/>
      <c r="IT21" s="123"/>
      <c r="IU21" s="123"/>
      <c r="IV21" s="123"/>
      <c r="IW21" s="123"/>
      <c r="IX21" s="123"/>
      <c r="IY21" s="123"/>
      <c r="IZ21" s="123"/>
      <c r="JA21" s="123"/>
      <c r="JB21" s="123"/>
      <c r="JC21" s="123"/>
      <c r="JD21" s="123"/>
      <c r="JE21" s="123"/>
      <c r="JF21" s="123"/>
      <c r="JG21" s="123"/>
      <c r="JH21" s="123"/>
      <c r="JI21" s="123"/>
      <c r="JJ21" s="123"/>
      <c r="JK21" s="123"/>
      <c r="JL21" s="123"/>
      <c r="JM21" s="123"/>
      <c r="JN21" s="123"/>
      <c r="JO21" s="123"/>
      <c r="JP21" s="123"/>
      <c r="JQ21" s="123"/>
      <c r="JR21" s="123"/>
      <c r="JS21" s="123"/>
      <c r="JT21" s="123"/>
      <c r="JU21" s="123"/>
      <c r="JV21" s="123"/>
      <c r="JW21" s="123"/>
      <c r="JX21" s="123"/>
      <c r="JY21" s="123"/>
      <c r="JZ21" s="123"/>
      <c r="KA21" s="123"/>
      <c r="KB21" s="123"/>
      <c r="KC21" s="123"/>
      <c r="KD21" s="123"/>
      <c r="KE21" s="123"/>
      <c r="KF21" s="123"/>
      <c r="KG21" s="123"/>
      <c r="KH21" s="123"/>
      <c r="KI21" s="123"/>
      <c r="KJ21" s="123"/>
      <c r="KK21" s="123"/>
      <c r="KL21" s="123"/>
      <c r="KM21" s="123"/>
      <c r="KN21" s="123"/>
      <c r="KO21" s="123"/>
      <c r="KP21" s="123"/>
      <c r="KQ21" s="123"/>
      <c r="KR21" s="123"/>
      <c r="KS21" s="123"/>
      <c r="KT21" s="123"/>
      <c r="KU21" s="123"/>
      <c r="KV21" s="123"/>
      <c r="KW21" s="123"/>
      <c r="KX21" s="123"/>
      <c r="KY21" s="123"/>
      <c r="KZ21" s="123"/>
      <c r="LA21" s="123"/>
      <c r="LB21" s="123"/>
      <c r="LC21" s="123"/>
      <c r="LD21" s="123"/>
      <c r="LE21" s="123"/>
      <c r="LF21" s="123"/>
      <c r="LG21" s="123"/>
      <c r="LH21" s="123"/>
      <c r="LI21" s="123"/>
      <c r="LJ21" s="123"/>
      <c r="LK21" s="123"/>
      <c r="LL21" s="123"/>
      <c r="LM21" s="123"/>
      <c r="LN21" s="123"/>
      <c r="LO21" s="123"/>
      <c r="LP21" s="123"/>
      <c r="LQ21" s="123"/>
      <c r="LR21" s="123"/>
      <c r="LS21" s="123"/>
      <c r="LT21" s="123"/>
      <c r="LU21" s="123"/>
      <c r="LV21" s="123"/>
      <c r="LW21" s="123"/>
      <c r="LX21" s="123"/>
      <c r="LY21" s="123"/>
      <c r="LZ21" s="123"/>
      <c r="MA21" s="123"/>
      <c r="MB21" s="123"/>
      <c r="MC21" s="123"/>
      <c r="MD21" s="123"/>
      <c r="ME21" s="123"/>
      <c r="MF21" s="123"/>
      <c r="MG21" s="123"/>
      <c r="MH21" s="123"/>
      <c r="MI21" s="123"/>
      <c r="MJ21" s="123"/>
      <c r="MK21" s="123"/>
      <c r="ML21" s="123"/>
      <c r="MM21" s="123"/>
      <c r="MN21" s="123"/>
      <c r="MO21" s="123"/>
      <c r="MP21" s="123"/>
      <c r="MQ21" s="123"/>
      <c r="MR21" s="123"/>
      <c r="MS21" s="123"/>
      <c r="MT21" s="123"/>
      <c r="MU21" s="123"/>
      <c r="MV21" s="123"/>
      <c r="MW21" s="123"/>
      <c r="MX21" s="123"/>
      <c r="MY21" s="123"/>
      <c r="MZ21" s="123"/>
      <c r="NA21" s="123"/>
      <c r="NB21" s="123"/>
      <c r="NC21" s="123"/>
      <c r="ND21" s="123"/>
      <c r="NE21" s="126"/>
      <c r="NF21" s="123"/>
    </row>
    <row r="22" spans="2:370" ht="15.75" x14ac:dyDescent="0.25">
      <c r="B22" s="14">
        <v>6</v>
      </c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3"/>
      <c r="DO22" s="123"/>
      <c r="DP22" s="123"/>
      <c r="DQ22" s="123"/>
      <c r="DR22" s="123"/>
      <c r="DS22" s="123"/>
      <c r="DT22" s="123"/>
      <c r="DU22" s="123"/>
      <c r="DV22" s="123"/>
      <c r="DW22" s="123"/>
      <c r="DX22" s="123"/>
      <c r="DY22" s="123"/>
      <c r="DZ22" s="123"/>
      <c r="EA22" s="123"/>
      <c r="EB22" s="123"/>
      <c r="EC22" s="123"/>
      <c r="ED22" s="123"/>
      <c r="EE22" s="123"/>
      <c r="EF22" s="123"/>
      <c r="EG22" s="123"/>
      <c r="EH22" s="123"/>
      <c r="EI22" s="123"/>
      <c r="EJ22" s="123"/>
      <c r="EK22" s="123"/>
      <c r="EL22" s="123"/>
      <c r="EM22" s="123"/>
      <c r="EN22" s="123"/>
      <c r="EO22" s="123"/>
      <c r="EP22" s="123"/>
      <c r="EQ22" s="123"/>
      <c r="ER22" s="123"/>
      <c r="ES22" s="123"/>
      <c r="ET22" s="123"/>
      <c r="EU22" s="123"/>
      <c r="EV22" s="123"/>
      <c r="EW22" s="123"/>
      <c r="EX22" s="123"/>
      <c r="EY22" s="123"/>
      <c r="EZ22" s="123"/>
      <c r="FA22" s="123"/>
      <c r="FB22" s="123"/>
      <c r="FC22" s="123"/>
      <c r="FD22" s="123"/>
      <c r="FE22" s="123"/>
      <c r="FF22" s="123"/>
      <c r="FG22" s="123"/>
      <c r="FH22" s="123"/>
      <c r="FI22" s="123"/>
      <c r="FJ22" s="123"/>
      <c r="FK22" s="123"/>
      <c r="FL22" s="123"/>
      <c r="FM22" s="123"/>
      <c r="FN22" s="123"/>
      <c r="FO22" s="123"/>
      <c r="FP22" s="123"/>
      <c r="FQ22" s="123"/>
      <c r="FR22" s="123"/>
      <c r="FS22" s="123"/>
      <c r="FT22" s="123"/>
      <c r="FU22" s="123"/>
      <c r="FV22" s="123"/>
      <c r="FW22" s="123"/>
      <c r="FX22" s="123"/>
      <c r="FY22" s="123"/>
      <c r="FZ22" s="123"/>
      <c r="GA22" s="123"/>
      <c r="GB22" s="123"/>
      <c r="GC22" s="123"/>
      <c r="GD22" s="123"/>
      <c r="GE22" s="123"/>
      <c r="GF22" s="123"/>
      <c r="GG22" s="123"/>
      <c r="GH22" s="123"/>
      <c r="GI22" s="123"/>
      <c r="GJ22" s="123"/>
      <c r="GK22" s="123"/>
      <c r="GL22" s="123"/>
      <c r="GM22" s="123"/>
      <c r="GN22" s="123"/>
      <c r="GO22" s="123"/>
      <c r="GP22" s="123"/>
      <c r="GQ22" s="123"/>
      <c r="GR22" s="123"/>
      <c r="GS22" s="123"/>
      <c r="GT22" s="123"/>
      <c r="GU22" s="123"/>
      <c r="GV22" s="123"/>
      <c r="GW22" s="123"/>
      <c r="GX22" s="123"/>
      <c r="GY22" s="123"/>
      <c r="GZ22" s="123"/>
      <c r="HA22" s="123"/>
      <c r="HB22" s="123"/>
      <c r="HC22" s="123"/>
      <c r="HD22" s="123"/>
      <c r="HE22" s="123"/>
      <c r="HF22" s="123"/>
      <c r="HG22" s="123"/>
      <c r="HH22" s="123"/>
      <c r="HI22" s="123"/>
      <c r="HJ22" s="123"/>
      <c r="HK22" s="123"/>
      <c r="HL22" s="123"/>
      <c r="HM22" s="123"/>
      <c r="HN22" s="123"/>
      <c r="HO22" s="123"/>
      <c r="HP22" s="123"/>
      <c r="HQ22" s="123"/>
      <c r="HR22" s="123"/>
      <c r="HS22" s="123"/>
      <c r="HT22" s="123"/>
      <c r="HU22" s="123"/>
      <c r="HV22" s="123"/>
      <c r="HW22" s="123"/>
      <c r="HX22" s="123"/>
      <c r="HY22" s="123"/>
      <c r="HZ22" s="123"/>
      <c r="IA22" s="123"/>
      <c r="IB22" s="123"/>
      <c r="IC22" s="123"/>
      <c r="ID22" s="123"/>
      <c r="IE22" s="123"/>
      <c r="IF22" s="123"/>
      <c r="IG22" s="123"/>
      <c r="IH22" s="123"/>
      <c r="II22" s="123"/>
      <c r="IJ22" s="123"/>
      <c r="IK22" s="123"/>
      <c r="IL22" s="123"/>
      <c r="IM22" s="123"/>
      <c r="IN22" s="123"/>
      <c r="IO22" s="123"/>
      <c r="IP22" s="123"/>
      <c r="IQ22" s="123"/>
      <c r="IR22" s="123"/>
      <c r="IS22" s="123"/>
      <c r="IT22" s="123"/>
      <c r="IU22" s="123"/>
      <c r="IV22" s="123"/>
      <c r="IW22" s="123"/>
      <c r="IX22" s="123"/>
      <c r="IY22" s="123"/>
      <c r="IZ22" s="123"/>
      <c r="JA22" s="123"/>
      <c r="JB22" s="123"/>
      <c r="JC22" s="123"/>
      <c r="JD22" s="123"/>
      <c r="JE22" s="123"/>
      <c r="JF22" s="123"/>
      <c r="JG22" s="123"/>
      <c r="JH22" s="123"/>
      <c r="JI22" s="123"/>
      <c r="JJ22" s="123"/>
      <c r="JK22" s="123"/>
      <c r="JL22" s="123"/>
      <c r="JM22" s="123"/>
      <c r="JN22" s="123"/>
      <c r="JO22" s="123"/>
      <c r="JP22" s="123"/>
      <c r="JQ22" s="123"/>
      <c r="JR22" s="123"/>
      <c r="JS22" s="123"/>
      <c r="JT22" s="123"/>
      <c r="JU22" s="123"/>
      <c r="JV22" s="123"/>
      <c r="JW22" s="123"/>
      <c r="JX22" s="123"/>
      <c r="JY22" s="123"/>
      <c r="JZ22" s="123"/>
      <c r="KA22" s="123"/>
      <c r="KB22" s="123"/>
      <c r="KC22" s="123"/>
      <c r="KD22" s="123"/>
      <c r="KE22" s="123"/>
      <c r="KF22" s="123"/>
      <c r="KG22" s="123"/>
      <c r="KH22" s="123"/>
      <c r="KI22" s="123"/>
      <c r="KJ22" s="123"/>
      <c r="KK22" s="123"/>
      <c r="KL22" s="123"/>
      <c r="KM22" s="123"/>
      <c r="KN22" s="123"/>
      <c r="KO22" s="123"/>
      <c r="KP22" s="123"/>
      <c r="KQ22" s="123"/>
      <c r="KR22" s="123"/>
      <c r="KS22" s="123"/>
      <c r="KT22" s="123"/>
      <c r="KU22" s="123"/>
      <c r="KV22" s="123"/>
      <c r="KW22" s="123"/>
      <c r="KX22" s="123"/>
      <c r="KY22" s="123"/>
      <c r="KZ22" s="123"/>
      <c r="LA22" s="123"/>
      <c r="LB22" s="123"/>
      <c r="LC22" s="123"/>
      <c r="LD22" s="123"/>
      <c r="LE22" s="123"/>
      <c r="LF22" s="123"/>
      <c r="LG22" s="123"/>
      <c r="LH22" s="123"/>
      <c r="LI22" s="123"/>
      <c r="LJ22" s="123"/>
      <c r="LK22" s="123"/>
      <c r="LL22" s="123"/>
      <c r="LM22" s="123"/>
      <c r="LN22" s="123"/>
      <c r="LO22" s="123"/>
      <c r="LP22" s="123"/>
      <c r="LQ22" s="123"/>
      <c r="LR22" s="123"/>
      <c r="LS22" s="123"/>
      <c r="LT22" s="123"/>
      <c r="LU22" s="123"/>
      <c r="LV22" s="123"/>
      <c r="LW22" s="123"/>
      <c r="LX22" s="123"/>
      <c r="LY22" s="123"/>
      <c r="LZ22" s="123"/>
      <c r="MA22" s="123"/>
      <c r="MB22" s="123"/>
      <c r="MC22" s="123"/>
      <c r="MD22" s="123"/>
      <c r="ME22" s="123"/>
      <c r="MF22" s="123"/>
      <c r="MG22" s="123"/>
      <c r="MH22" s="123"/>
      <c r="MI22" s="123"/>
      <c r="MJ22" s="123"/>
      <c r="MK22" s="123"/>
      <c r="ML22" s="123"/>
      <c r="MM22" s="123"/>
      <c r="MN22" s="123"/>
      <c r="MO22" s="123"/>
      <c r="MP22" s="123"/>
      <c r="MQ22" s="123"/>
      <c r="MR22" s="123"/>
      <c r="MS22" s="123"/>
      <c r="MT22" s="123"/>
      <c r="MU22" s="123"/>
      <c r="MV22" s="123"/>
      <c r="MW22" s="123"/>
      <c r="MX22" s="123"/>
      <c r="MY22" s="123"/>
      <c r="MZ22" s="123"/>
      <c r="NA22" s="123"/>
      <c r="NB22" s="123"/>
      <c r="NC22" s="123"/>
      <c r="ND22" s="123"/>
      <c r="NE22" s="126"/>
      <c r="NF22" s="123"/>
    </row>
    <row r="23" spans="2:370" ht="15.75" x14ac:dyDescent="0.25">
      <c r="B23" s="14">
        <v>7</v>
      </c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123"/>
      <c r="DS23" s="123"/>
      <c r="DT23" s="123"/>
      <c r="DU23" s="123"/>
      <c r="DV23" s="123"/>
      <c r="DW23" s="123"/>
      <c r="DX23" s="123"/>
      <c r="DY23" s="123"/>
      <c r="DZ23" s="123"/>
      <c r="EA23" s="123"/>
      <c r="EB23" s="123"/>
      <c r="EC23" s="123"/>
      <c r="ED23" s="123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3"/>
      <c r="EP23" s="123"/>
      <c r="EQ23" s="123"/>
      <c r="ER23" s="123"/>
      <c r="ES23" s="123"/>
      <c r="ET23" s="123"/>
      <c r="EU23" s="123"/>
      <c r="EV23" s="123"/>
      <c r="EW23" s="123"/>
      <c r="EX23" s="123"/>
      <c r="EY23" s="123"/>
      <c r="EZ23" s="123"/>
      <c r="FA23" s="123"/>
      <c r="FB23" s="123"/>
      <c r="FC23" s="123"/>
      <c r="FD23" s="123"/>
      <c r="FE23" s="123"/>
      <c r="FF23" s="123"/>
      <c r="FG23" s="123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3"/>
      <c r="FS23" s="123"/>
      <c r="FT23" s="123"/>
      <c r="FU23" s="123"/>
      <c r="FV23" s="123"/>
      <c r="FW23" s="123"/>
      <c r="FX23" s="123"/>
      <c r="FY23" s="123"/>
      <c r="FZ23" s="123"/>
      <c r="GA23" s="123"/>
      <c r="GB23" s="123"/>
      <c r="GC23" s="123"/>
      <c r="GD23" s="123"/>
      <c r="GE23" s="123"/>
      <c r="GF23" s="123"/>
      <c r="GG23" s="123"/>
      <c r="GH23" s="123"/>
      <c r="GI23" s="123"/>
      <c r="GJ23" s="123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3"/>
      <c r="GV23" s="123"/>
      <c r="GW23" s="123"/>
      <c r="GX23" s="123"/>
      <c r="GY23" s="123"/>
      <c r="GZ23" s="123"/>
      <c r="HA23" s="123"/>
      <c r="HB23" s="123"/>
      <c r="HC23" s="123"/>
      <c r="HD23" s="123"/>
      <c r="HE23" s="123"/>
      <c r="HF23" s="123"/>
      <c r="HG23" s="123"/>
      <c r="HH23" s="123"/>
      <c r="HI23" s="123"/>
      <c r="HJ23" s="123"/>
      <c r="HK23" s="123"/>
      <c r="HL23" s="123"/>
      <c r="HM23" s="123"/>
      <c r="HN23" s="123"/>
      <c r="HO23" s="123"/>
      <c r="HP23" s="123"/>
      <c r="HQ23" s="123"/>
      <c r="HR23" s="123"/>
      <c r="HS23" s="123"/>
      <c r="HT23" s="123"/>
      <c r="HU23" s="123"/>
      <c r="HV23" s="123"/>
      <c r="HW23" s="123"/>
      <c r="HX23" s="123"/>
      <c r="HY23" s="123"/>
      <c r="HZ23" s="123"/>
      <c r="IA23" s="123"/>
      <c r="IB23" s="123"/>
      <c r="IC23" s="123"/>
      <c r="ID23" s="123"/>
      <c r="IE23" s="123"/>
      <c r="IF23" s="123"/>
      <c r="IG23" s="123"/>
      <c r="IH23" s="123"/>
      <c r="II23" s="123"/>
      <c r="IJ23" s="123"/>
      <c r="IK23" s="123"/>
      <c r="IL23" s="123"/>
      <c r="IM23" s="123"/>
      <c r="IN23" s="123"/>
      <c r="IO23" s="123"/>
      <c r="IP23" s="123"/>
      <c r="IQ23" s="123"/>
      <c r="IR23" s="123"/>
      <c r="IS23" s="123"/>
      <c r="IT23" s="123"/>
      <c r="IU23" s="123"/>
      <c r="IV23" s="123"/>
      <c r="IW23" s="123"/>
      <c r="IX23" s="123"/>
      <c r="IY23" s="123"/>
      <c r="IZ23" s="123"/>
      <c r="JA23" s="123"/>
      <c r="JB23" s="123"/>
      <c r="JC23" s="123"/>
      <c r="JD23" s="123"/>
      <c r="JE23" s="123"/>
      <c r="JF23" s="123"/>
      <c r="JG23" s="123"/>
      <c r="JH23" s="123"/>
      <c r="JI23" s="123"/>
      <c r="JJ23" s="123"/>
      <c r="JK23" s="123"/>
      <c r="JL23" s="123"/>
      <c r="JM23" s="123"/>
      <c r="JN23" s="123"/>
      <c r="JO23" s="123"/>
      <c r="JP23" s="123"/>
      <c r="JQ23" s="123"/>
      <c r="JR23" s="123"/>
      <c r="JS23" s="123"/>
      <c r="JT23" s="123"/>
      <c r="JU23" s="123"/>
      <c r="JV23" s="123"/>
      <c r="JW23" s="123"/>
      <c r="JX23" s="123"/>
      <c r="JY23" s="123"/>
      <c r="JZ23" s="123"/>
      <c r="KA23" s="123"/>
      <c r="KB23" s="123"/>
      <c r="KC23" s="123"/>
      <c r="KD23" s="123"/>
      <c r="KE23" s="123"/>
      <c r="KF23" s="123"/>
      <c r="KG23" s="123"/>
      <c r="KH23" s="123"/>
      <c r="KI23" s="123"/>
      <c r="KJ23" s="123"/>
      <c r="KK23" s="123"/>
      <c r="KL23" s="123"/>
      <c r="KM23" s="123"/>
      <c r="KN23" s="123"/>
      <c r="KO23" s="123"/>
      <c r="KP23" s="123"/>
      <c r="KQ23" s="123"/>
      <c r="KR23" s="123"/>
      <c r="KS23" s="123"/>
      <c r="KT23" s="123"/>
      <c r="KU23" s="123"/>
      <c r="KV23" s="123"/>
      <c r="KW23" s="123"/>
      <c r="KX23" s="123"/>
      <c r="KY23" s="123"/>
      <c r="KZ23" s="123"/>
      <c r="LA23" s="123"/>
      <c r="LB23" s="123"/>
      <c r="LC23" s="123"/>
      <c r="LD23" s="123"/>
      <c r="LE23" s="123"/>
      <c r="LF23" s="123"/>
      <c r="LG23" s="123"/>
      <c r="LH23" s="123"/>
      <c r="LI23" s="123"/>
      <c r="LJ23" s="123"/>
      <c r="LK23" s="123"/>
      <c r="LL23" s="123"/>
      <c r="LM23" s="123"/>
      <c r="LN23" s="123"/>
      <c r="LO23" s="123"/>
      <c r="LP23" s="123"/>
      <c r="LQ23" s="123"/>
      <c r="LR23" s="123"/>
      <c r="LS23" s="123"/>
      <c r="LT23" s="123"/>
      <c r="LU23" s="123"/>
      <c r="LV23" s="123"/>
      <c r="LW23" s="123"/>
      <c r="LX23" s="123"/>
      <c r="LY23" s="123"/>
      <c r="LZ23" s="123"/>
      <c r="MA23" s="123"/>
      <c r="MB23" s="123"/>
      <c r="MC23" s="123"/>
      <c r="MD23" s="123"/>
      <c r="ME23" s="123"/>
      <c r="MF23" s="123"/>
      <c r="MG23" s="123"/>
      <c r="MH23" s="123"/>
      <c r="MI23" s="123"/>
      <c r="MJ23" s="123"/>
      <c r="MK23" s="123"/>
      <c r="ML23" s="123"/>
      <c r="MM23" s="123"/>
      <c r="MN23" s="123"/>
      <c r="MO23" s="123"/>
      <c r="MP23" s="123"/>
      <c r="MQ23" s="123"/>
      <c r="MR23" s="123"/>
      <c r="MS23" s="123"/>
      <c r="MT23" s="123"/>
      <c r="MU23" s="123"/>
      <c r="MV23" s="123"/>
      <c r="MW23" s="123"/>
      <c r="MX23" s="123"/>
      <c r="MY23" s="123"/>
      <c r="MZ23" s="123"/>
      <c r="NA23" s="123"/>
      <c r="NB23" s="123"/>
      <c r="NC23" s="123"/>
      <c r="ND23" s="123"/>
      <c r="NE23" s="126"/>
      <c r="NF23" s="123"/>
    </row>
    <row r="24" spans="2:370" ht="15.75" x14ac:dyDescent="0.25">
      <c r="B24" s="14">
        <v>8</v>
      </c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23"/>
      <c r="DY24" s="123"/>
      <c r="DZ24" s="123"/>
      <c r="EA24" s="123"/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123"/>
      <c r="EO24" s="123"/>
      <c r="EP24" s="123"/>
      <c r="EQ24" s="123"/>
      <c r="ER24" s="123"/>
      <c r="ES24" s="123"/>
      <c r="ET24" s="123"/>
      <c r="EU24" s="123"/>
      <c r="EV24" s="123"/>
      <c r="EW24" s="123"/>
      <c r="EX24" s="123"/>
      <c r="EY24" s="123"/>
      <c r="EZ24" s="123"/>
      <c r="FA24" s="123"/>
      <c r="FB24" s="123"/>
      <c r="FC24" s="123"/>
      <c r="FD24" s="123"/>
      <c r="FE24" s="123"/>
      <c r="FF24" s="123"/>
      <c r="FG24" s="123"/>
      <c r="FH24" s="123"/>
      <c r="FI24" s="123"/>
      <c r="FJ24" s="123"/>
      <c r="FK24" s="123"/>
      <c r="FL24" s="123"/>
      <c r="FM24" s="123"/>
      <c r="FN24" s="123"/>
      <c r="FO24" s="123"/>
      <c r="FP24" s="123"/>
      <c r="FQ24" s="123"/>
      <c r="FR24" s="123"/>
      <c r="FS24" s="123"/>
      <c r="FT24" s="123"/>
      <c r="FU24" s="123"/>
      <c r="FV24" s="123"/>
      <c r="FW24" s="123"/>
      <c r="FX24" s="123"/>
      <c r="FY24" s="123"/>
      <c r="FZ24" s="123"/>
      <c r="GA24" s="123"/>
      <c r="GB24" s="123"/>
      <c r="GC24" s="123"/>
      <c r="GD24" s="123"/>
      <c r="GE24" s="123"/>
      <c r="GF24" s="123"/>
      <c r="GG24" s="123"/>
      <c r="GH24" s="123"/>
      <c r="GI24" s="123"/>
      <c r="GJ24" s="123"/>
      <c r="GK24" s="123"/>
      <c r="GL24" s="123"/>
      <c r="GM24" s="123"/>
      <c r="GN24" s="123"/>
      <c r="GO24" s="123"/>
      <c r="GP24" s="123"/>
      <c r="GQ24" s="123"/>
      <c r="GR24" s="123"/>
      <c r="GS24" s="123"/>
      <c r="GT24" s="123"/>
      <c r="GU24" s="123"/>
      <c r="GV24" s="123"/>
      <c r="GW24" s="123"/>
      <c r="GX24" s="123"/>
      <c r="GY24" s="123"/>
      <c r="GZ24" s="123"/>
      <c r="HA24" s="123"/>
      <c r="HB24" s="123"/>
      <c r="HC24" s="123"/>
      <c r="HD24" s="123"/>
      <c r="HE24" s="123"/>
      <c r="HF24" s="123"/>
      <c r="HG24" s="123"/>
      <c r="HH24" s="123"/>
      <c r="HI24" s="123"/>
      <c r="HJ24" s="123"/>
      <c r="HK24" s="123"/>
      <c r="HL24" s="123"/>
      <c r="HM24" s="123"/>
      <c r="HN24" s="123"/>
      <c r="HO24" s="123"/>
      <c r="HP24" s="123"/>
      <c r="HQ24" s="123"/>
      <c r="HR24" s="123"/>
      <c r="HS24" s="123"/>
      <c r="HT24" s="123"/>
      <c r="HU24" s="123"/>
      <c r="HV24" s="123"/>
      <c r="HW24" s="123"/>
      <c r="HX24" s="123"/>
      <c r="HY24" s="123"/>
      <c r="HZ24" s="123"/>
      <c r="IA24" s="123"/>
      <c r="IB24" s="123"/>
      <c r="IC24" s="123"/>
      <c r="ID24" s="123"/>
      <c r="IE24" s="123"/>
      <c r="IF24" s="123"/>
      <c r="IG24" s="123"/>
      <c r="IH24" s="123"/>
      <c r="II24" s="123"/>
      <c r="IJ24" s="123"/>
      <c r="IK24" s="123"/>
      <c r="IL24" s="123"/>
      <c r="IM24" s="123"/>
      <c r="IN24" s="123"/>
      <c r="IO24" s="123"/>
      <c r="IP24" s="123"/>
      <c r="IQ24" s="123"/>
      <c r="IR24" s="123"/>
      <c r="IS24" s="123"/>
      <c r="IT24" s="123"/>
      <c r="IU24" s="123"/>
      <c r="IV24" s="123"/>
      <c r="IW24" s="123"/>
      <c r="IX24" s="123"/>
      <c r="IY24" s="123"/>
      <c r="IZ24" s="123"/>
      <c r="JA24" s="123"/>
      <c r="JB24" s="123"/>
      <c r="JC24" s="123"/>
      <c r="JD24" s="123"/>
      <c r="JE24" s="123"/>
      <c r="JF24" s="123"/>
      <c r="JG24" s="123"/>
      <c r="JH24" s="123"/>
      <c r="JI24" s="123"/>
      <c r="JJ24" s="123"/>
      <c r="JK24" s="123"/>
      <c r="JL24" s="123"/>
      <c r="JM24" s="123"/>
      <c r="JN24" s="123"/>
      <c r="JO24" s="123"/>
      <c r="JP24" s="123"/>
      <c r="JQ24" s="123"/>
      <c r="JR24" s="123"/>
      <c r="JS24" s="123"/>
      <c r="JT24" s="123"/>
      <c r="JU24" s="123"/>
      <c r="JV24" s="123"/>
      <c r="JW24" s="123"/>
      <c r="JX24" s="123"/>
      <c r="JY24" s="123"/>
      <c r="JZ24" s="123"/>
      <c r="KA24" s="123"/>
      <c r="KB24" s="123"/>
      <c r="KC24" s="123"/>
      <c r="KD24" s="123"/>
      <c r="KE24" s="123"/>
      <c r="KF24" s="123"/>
      <c r="KG24" s="123"/>
      <c r="KH24" s="123"/>
      <c r="KI24" s="123"/>
      <c r="KJ24" s="123"/>
      <c r="KK24" s="123"/>
      <c r="KL24" s="123"/>
      <c r="KM24" s="123"/>
      <c r="KN24" s="123"/>
      <c r="KO24" s="123"/>
      <c r="KP24" s="123"/>
      <c r="KQ24" s="123"/>
      <c r="KR24" s="123"/>
      <c r="KS24" s="123"/>
      <c r="KT24" s="123"/>
      <c r="KU24" s="123"/>
      <c r="KV24" s="123"/>
      <c r="KW24" s="123"/>
      <c r="KX24" s="123"/>
      <c r="KY24" s="123"/>
      <c r="KZ24" s="123"/>
      <c r="LA24" s="123"/>
      <c r="LB24" s="123"/>
      <c r="LC24" s="123"/>
      <c r="LD24" s="123"/>
      <c r="LE24" s="123"/>
      <c r="LF24" s="123"/>
      <c r="LG24" s="123"/>
      <c r="LH24" s="123"/>
      <c r="LI24" s="123"/>
      <c r="LJ24" s="123"/>
      <c r="LK24" s="123"/>
      <c r="LL24" s="123"/>
      <c r="LM24" s="123"/>
      <c r="LN24" s="123"/>
      <c r="LO24" s="123"/>
      <c r="LP24" s="123"/>
      <c r="LQ24" s="123"/>
      <c r="LR24" s="123"/>
      <c r="LS24" s="123"/>
      <c r="LT24" s="123"/>
      <c r="LU24" s="123"/>
      <c r="LV24" s="123"/>
      <c r="LW24" s="123"/>
      <c r="LX24" s="123"/>
      <c r="LY24" s="123"/>
      <c r="LZ24" s="123"/>
      <c r="MA24" s="123"/>
      <c r="MB24" s="123"/>
      <c r="MC24" s="123"/>
      <c r="MD24" s="123"/>
      <c r="ME24" s="123"/>
      <c r="MF24" s="123"/>
      <c r="MG24" s="123"/>
      <c r="MH24" s="123"/>
      <c r="MI24" s="123"/>
      <c r="MJ24" s="123"/>
      <c r="MK24" s="123"/>
      <c r="ML24" s="123"/>
      <c r="MM24" s="123"/>
      <c r="MN24" s="123"/>
      <c r="MO24" s="123"/>
      <c r="MP24" s="123"/>
      <c r="MQ24" s="123"/>
      <c r="MR24" s="123"/>
      <c r="MS24" s="123"/>
      <c r="MT24" s="123"/>
      <c r="MU24" s="123"/>
      <c r="MV24" s="123"/>
      <c r="MW24" s="123"/>
      <c r="MX24" s="123"/>
      <c r="MY24" s="123"/>
      <c r="MZ24" s="123"/>
      <c r="NA24" s="123"/>
      <c r="NB24" s="123"/>
      <c r="NC24" s="123"/>
      <c r="ND24" s="123"/>
      <c r="NE24" s="126"/>
      <c r="NF24" s="123"/>
    </row>
    <row r="25" spans="2:370" ht="15.75" x14ac:dyDescent="0.25">
      <c r="B25" s="14">
        <v>9</v>
      </c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3"/>
      <c r="CW25" s="123"/>
      <c r="CX25" s="123"/>
      <c r="CY25" s="123"/>
      <c r="CZ25" s="123"/>
      <c r="DA25" s="123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3"/>
      <c r="DO25" s="123"/>
      <c r="DP25" s="123"/>
      <c r="DQ25" s="123"/>
      <c r="DR25" s="123"/>
      <c r="DS25" s="123"/>
      <c r="DT25" s="123"/>
      <c r="DU25" s="123"/>
      <c r="DV25" s="123"/>
      <c r="DW25" s="123"/>
      <c r="DX25" s="123"/>
      <c r="DY25" s="123"/>
      <c r="DZ25" s="123"/>
      <c r="EA25" s="123"/>
      <c r="EB25" s="123"/>
      <c r="EC25" s="123"/>
      <c r="ED25" s="123"/>
      <c r="EE25" s="123"/>
      <c r="EF25" s="123"/>
      <c r="EG25" s="123"/>
      <c r="EH25" s="123"/>
      <c r="EI25" s="123"/>
      <c r="EJ25" s="123"/>
      <c r="EK25" s="123"/>
      <c r="EL25" s="123"/>
      <c r="EM25" s="123"/>
      <c r="EN25" s="123"/>
      <c r="EO25" s="123"/>
      <c r="EP25" s="123"/>
      <c r="EQ25" s="123"/>
      <c r="ER25" s="123"/>
      <c r="ES25" s="123"/>
      <c r="ET25" s="123"/>
      <c r="EU25" s="123"/>
      <c r="EV25" s="123"/>
      <c r="EW25" s="123"/>
      <c r="EX25" s="123"/>
      <c r="EY25" s="123"/>
      <c r="EZ25" s="123"/>
      <c r="FA25" s="123"/>
      <c r="FB25" s="123"/>
      <c r="FC25" s="123"/>
      <c r="FD25" s="123"/>
      <c r="FE25" s="123"/>
      <c r="FF25" s="123"/>
      <c r="FG25" s="123"/>
      <c r="FH25" s="123"/>
      <c r="FI25" s="123"/>
      <c r="FJ25" s="123"/>
      <c r="FK25" s="123"/>
      <c r="FL25" s="123"/>
      <c r="FM25" s="123"/>
      <c r="FN25" s="123"/>
      <c r="FO25" s="123"/>
      <c r="FP25" s="123"/>
      <c r="FQ25" s="123"/>
      <c r="FR25" s="123"/>
      <c r="FS25" s="123"/>
      <c r="FT25" s="123"/>
      <c r="FU25" s="123"/>
      <c r="FV25" s="123"/>
      <c r="FW25" s="123"/>
      <c r="FX25" s="123"/>
      <c r="FY25" s="123"/>
      <c r="FZ25" s="123"/>
      <c r="GA25" s="123"/>
      <c r="GB25" s="123"/>
      <c r="GC25" s="123"/>
      <c r="GD25" s="123"/>
      <c r="GE25" s="123"/>
      <c r="GF25" s="123"/>
      <c r="GG25" s="123"/>
      <c r="GH25" s="123"/>
      <c r="GI25" s="123"/>
      <c r="GJ25" s="123"/>
      <c r="GK25" s="123"/>
      <c r="GL25" s="123"/>
      <c r="GM25" s="123"/>
      <c r="GN25" s="123"/>
      <c r="GO25" s="123"/>
      <c r="GP25" s="123"/>
      <c r="GQ25" s="123"/>
      <c r="GR25" s="123"/>
      <c r="GS25" s="123"/>
      <c r="GT25" s="123"/>
      <c r="GU25" s="123"/>
      <c r="GV25" s="123"/>
      <c r="GW25" s="123"/>
      <c r="GX25" s="123"/>
      <c r="GY25" s="123"/>
      <c r="GZ25" s="123"/>
      <c r="HA25" s="123"/>
      <c r="HB25" s="123"/>
      <c r="HC25" s="123"/>
      <c r="HD25" s="123"/>
      <c r="HE25" s="123"/>
      <c r="HF25" s="123"/>
      <c r="HG25" s="123"/>
      <c r="HH25" s="123"/>
      <c r="HI25" s="123"/>
      <c r="HJ25" s="123"/>
      <c r="HK25" s="123"/>
      <c r="HL25" s="123"/>
      <c r="HM25" s="123"/>
      <c r="HN25" s="123"/>
      <c r="HO25" s="123"/>
      <c r="HP25" s="123"/>
      <c r="HQ25" s="123"/>
      <c r="HR25" s="123"/>
      <c r="HS25" s="123"/>
      <c r="HT25" s="123"/>
      <c r="HU25" s="123"/>
      <c r="HV25" s="123"/>
      <c r="HW25" s="123"/>
      <c r="HX25" s="123"/>
      <c r="HY25" s="123"/>
      <c r="HZ25" s="123"/>
      <c r="IA25" s="123"/>
      <c r="IB25" s="123"/>
      <c r="IC25" s="123"/>
      <c r="ID25" s="123"/>
      <c r="IE25" s="123"/>
      <c r="IF25" s="123"/>
      <c r="IG25" s="123"/>
      <c r="IH25" s="123"/>
      <c r="II25" s="123"/>
      <c r="IJ25" s="123"/>
      <c r="IK25" s="123"/>
      <c r="IL25" s="123"/>
      <c r="IM25" s="123"/>
      <c r="IN25" s="123"/>
      <c r="IO25" s="123"/>
      <c r="IP25" s="123"/>
      <c r="IQ25" s="123"/>
      <c r="IR25" s="123"/>
      <c r="IS25" s="123"/>
      <c r="IT25" s="123"/>
      <c r="IU25" s="123"/>
      <c r="IV25" s="123"/>
      <c r="IW25" s="123"/>
      <c r="IX25" s="123"/>
      <c r="IY25" s="123"/>
      <c r="IZ25" s="123"/>
      <c r="JA25" s="123"/>
      <c r="JB25" s="123"/>
      <c r="JC25" s="123"/>
      <c r="JD25" s="123"/>
      <c r="JE25" s="123"/>
      <c r="JF25" s="123"/>
      <c r="JG25" s="123"/>
      <c r="JH25" s="123"/>
      <c r="JI25" s="123"/>
      <c r="JJ25" s="123"/>
      <c r="JK25" s="123"/>
      <c r="JL25" s="123"/>
      <c r="JM25" s="123"/>
      <c r="JN25" s="123"/>
      <c r="JO25" s="123"/>
      <c r="JP25" s="123"/>
      <c r="JQ25" s="123"/>
      <c r="JR25" s="123"/>
      <c r="JS25" s="123"/>
      <c r="JT25" s="123"/>
      <c r="JU25" s="123"/>
      <c r="JV25" s="123"/>
      <c r="JW25" s="123"/>
      <c r="JX25" s="123"/>
      <c r="JY25" s="123"/>
      <c r="JZ25" s="123"/>
      <c r="KA25" s="123"/>
      <c r="KB25" s="123"/>
      <c r="KC25" s="123"/>
      <c r="KD25" s="123"/>
      <c r="KE25" s="123"/>
      <c r="KF25" s="123"/>
      <c r="KG25" s="123"/>
      <c r="KH25" s="123"/>
      <c r="KI25" s="123"/>
      <c r="KJ25" s="123"/>
      <c r="KK25" s="123"/>
      <c r="KL25" s="123"/>
      <c r="KM25" s="123"/>
      <c r="KN25" s="123"/>
      <c r="KO25" s="123"/>
      <c r="KP25" s="123"/>
      <c r="KQ25" s="123"/>
      <c r="KR25" s="123"/>
      <c r="KS25" s="123"/>
      <c r="KT25" s="123"/>
      <c r="KU25" s="123"/>
      <c r="KV25" s="123"/>
      <c r="KW25" s="123"/>
      <c r="KX25" s="123"/>
      <c r="KY25" s="123"/>
      <c r="KZ25" s="123"/>
      <c r="LA25" s="123"/>
      <c r="LB25" s="123"/>
      <c r="LC25" s="123"/>
      <c r="LD25" s="123"/>
      <c r="LE25" s="123"/>
      <c r="LF25" s="123"/>
      <c r="LG25" s="123"/>
      <c r="LH25" s="123"/>
      <c r="LI25" s="123"/>
      <c r="LJ25" s="123"/>
      <c r="LK25" s="123"/>
      <c r="LL25" s="123"/>
      <c r="LM25" s="123"/>
      <c r="LN25" s="123"/>
      <c r="LO25" s="123"/>
      <c r="LP25" s="123"/>
      <c r="LQ25" s="123"/>
      <c r="LR25" s="123"/>
      <c r="LS25" s="123"/>
      <c r="LT25" s="123"/>
      <c r="LU25" s="123"/>
      <c r="LV25" s="123"/>
      <c r="LW25" s="123"/>
      <c r="LX25" s="123"/>
      <c r="LY25" s="123"/>
      <c r="LZ25" s="123"/>
      <c r="MA25" s="123"/>
      <c r="MB25" s="123"/>
      <c r="MC25" s="123"/>
      <c r="MD25" s="123"/>
      <c r="ME25" s="123"/>
      <c r="MF25" s="123"/>
      <c r="MG25" s="123"/>
      <c r="MH25" s="123"/>
      <c r="MI25" s="123"/>
      <c r="MJ25" s="123"/>
      <c r="MK25" s="123"/>
      <c r="ML25" s="123"/>
      <c r="MM25" s="123"/>
      <c r="MN25" s="123"/>
      <c r="MO25" s="123"/>
      <c r="MP25" s="123"/>
      <c r="MQ25" s="123"/>
      <c r="MR25" s="123"/>
      <c r="MS25" s="123"/>
      <c r="MT25" s="123"/>
      <c r="MU25" s="123"/>
      <c r="MV25" s="123"/>
      <c r="MW25" s="123"/>
      <c r="MX25" s="123"/>
      <c r="MY25" s="123"/>
      <c r="MZ25" s="123"/>
      <c r="NA25" s="123"/>
      <c r="NB25" s="123"/>
      <c r="NC25" s="123"/>
      <c r="ND25" s="123"/>
      <c r="NE25" s="126"/>
      <c r="NF25" s="123"/>
    </row>
    <row r="26" spans="2:370" ht="15.75" x14ac:dyDescent="0.25">
      <c r="B26" s="14">
        <v>10</v>
      </c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3"/>
      <c r="DM26" s="123"/>
      <c r="DN26" s="123"/>
      <c r="DO26" s="123"/>
      <c r="DP26" s="123"/>
      <c r="DQ26" s="123"/>
      <c r="DR26" s="123"/>
      <c r="DS26" s="123"/>
      <c r="DT26" s="123"/>
      <c r="DU26" s="123"/>
      <c r="DV26" s="123"/>
      <c r="DW26" s="123"/>
      <c r="DX26" s="123"/>
      <c r="DY26" s="123"/>
      <c r="DZ26" s="123"/>
      <c r="EA26" s="123"/>
      <c r="EB26" s="123"/>
      <c r="EC26" s="123"/>
      <c r="ED26" s="123"/>
      <c r="EE26" s="123"/>
      <c r="EF26" s="123"/>
      <c r="EG26" s="123"/>
      <c r="EH26" s="123"/>
      <c r="EI26" s="123"/>
      <c r="EJ26" s="123"/>
      <c r="EK26" s="123"/>
      <c r="EL26" s="123"/>
      <c r="EM26" s="123"/>
      <c r="EN26" s="123"/>
      <c r="EO26" s="123"/>
      <c r="EP26" s="123"/>
      <c r="EQ26" s="123"/>
      <c r="ER26" s="123"/>
      <c r="ES26" s="123"/>
      <c r="ET26" s="123"/>
      <c r="EU26" s="123"/>
      <c r="EV26" s="123"/>
      <c r="EW26" s="123"/>
      <c r="EX26" s="123"/>
      <c r="EY26" s="123"/>
      <c r="EZ26" s="123"/>
      <c r="FA26" s="123"/>
      <c r="FB26" s="123"/>
      <c r="FC26" s="123"/>
      <c r="FD26" s="123"/>
      <c r="FE26" s="123"/>
      <c r="FF26" s="123"/>
      <c r="FG26" s="123"/>
      <c r="FH26" s="123"/>
      <c r="FI26" s="123"/>
      <c r="FJ26" s="123"/>
      <c r="FK26" s="123"/>
      <c r="FL26" s="123"/>
      <c r="FM26" s="123"/>
      <c r="FN26" s="123"/>
      <c r="FO26" s="123"/>
      <c r="FP26" s="123"/>
      <c r="FQ26" s="123"/>
      <c r="FR26" s="123"/>
      <c r="FS26" s="123"/>
      <c r="FT26" s="123"/>
      <c r="FU26" s="123"/>
      <c r="FV26" s="123"/>
      <c r="FW26" s="123"/>
      <c r="FX26" s="123"/>
      <c r="FY26" s="123"/>
      <c r="FZ26" s="123"/>
      <c r="GA26" s="123"/>
      <c r="GB26" s="123"/>
      <c r="GC26" s="123"/>
      <c r="GD26" s="123"/>
      <c r="GE26" s="123"/>
      <c r="GF26" s="123"/>
      <c r="GG26" s="123"/>
      <c r="GH26" s="123"/>
      <c r="GI26" s="123"/>
      <c r="GJ26" s="123"/>
      <c r="GK26" s="123"/>
      <c r="GL26" s="123"/>
      <c r="GM26" s="123"/>
      <c r="GN26" s="123"/>
      <c r="GO26" s="123"/>
      <c r="GP26" s="123"/>
      <c r="GQ26" s="123"/>
      <c r="GR26" s="123"/>
      <c r="GS26" s="123"/>
      <c r="GT26" s="123"/>
      <c r="GU26" s="123"/>
      <c r="GV26" s="123"/>
      <c r="GW26" s="123"/>
      <c r="GX26" s="123"/>
      <c r="GY26" s="123"/>
      <c r="GZ26" s="123"/>
      <c r="HA26" s="123"/>
      <c r="HB26" s="123"/>
      <c r="HC26" s="123"/>
      <c r="HD26" s="123"/>
      <c r="HE26" s="123"/>
      <c r="HF26" s="123"/>
      <c r="HG26" s="123"/>
      <c r="HH26" s="123"/>
      <c r="HI26" s="123"/>
      <c r="HJ26" s="123"/>
      <c r="HK26" s="123"/>
      <c r="HL26" s="123"/>
      <c r="HM26" s="123"/>
      <c r="HN26" s="123"/>
      <c r="HO26" s="123"/>
      <c r="HP26" s="123"/>
      <c r="HQ26" s="123"/>
      <c r="HR26" s="123"/>
      <c r="HS26" s="123"/>
      <c r="HT26" s="123"/>
      <c r="HU26" s="123"/>
      <c r="HV26" s="123"/>
      <c r="HW26" s="123"/>
      <c r="HX26" s="123"/>
      <c r="HY26" s="123"/>
      <c r="HZ26" s="123"/>
      <c r="IA26" s="123"/>
      <c r="IB26" s="123"/>
      <c r="IC26" s="123"/>
      <c r="ID26" s="123"/>
      <c r="IE26" s="123"/>
      <c r="IF26" s="123"/>
      <c r="IG26" s="123"/>
      <c r="IH26" s="123"/>
      <c r="II26" s="123"/>
      <c r="IJ26" s="123"/>
      <c r="IK26" s="123"/>
      <c r="IL26" s="123"/>
      <c r="IM26" s="123"/>
      <c r="IN26" s="123"/>
      <c r="IO26" s="123"/>
      <c r="IP26" s="123"/>
      <c r="IQ26" s="123"/>
      <c r="IR26" s="123"/>
      <c r="IS26" s="123"/>
      <c r="IT26" s="123"/>
      <c r="IU26" s="123"/>
      <c r="IV26" s="123"/>
      <c r="IW26" s="123"/>
      <c r="IX26" s="123"/>
      <c r="IY26" s="123"/>
      <c r="IZ26" s="123"/>
      <c r="JA26" s="123"/>
      <c r="JB26" s="123"/>
      <c r="JC26" s="123"/>
      <c r="JD26" s="123"/>
      <c r="JE26" s="123"/>
      <c r="JF26" s="123"/>
      <c r="JG26" s="123"/>
      <c r="JH26" s="123"/>
      <c r="JI26" s="123"/>
      <c r="JJ26" s="123"/>
      <c r="JK26" s="123"/>
      <c r="JL26" s="123"/>
      <c r="JM26" s="123"/>
      <c r="JN26" s="123"/>
      <c r="JO26" s="123"/>
      <c r="JP26" s="123"/>
      <c r="JQ26" s="123"/>
      <c r="JR26" s="123"/>
      <c r="JS26" s="123"/>
      <c r="JT26" s="123"/>
      <c r="JU26" s="123"/>
      <c r="JV26" s="123"/>
      <c r="JW26" s="123"/>
      <c r="JX26" s="123"/>
      <c r="JY26" s="123"/>
      <c r="JZ26" s="123"/>
      <c r="KA26" s="123"/>
      <c r="KB26" s="123"/>
      <c r="KC26" s="123"/>
      <c r="KD26" s="123"/>
      <c r="KE26" s="123"/>
      <c r="KF26" s="123"/>
      <c r="KG26" s="123"/>
      <c r="KH26" s="123"/>
      <c r="KI26" s="123"/>
      <c r="KJ26" s="123"/>
      <c r="KK26" s="123"/>
      <c r="KL26" s="123"/>
      <c r="KM26" s="123"/>
      <c r="KN26" s="123"/>
      <c r="KO26" s="123"/>
      <c r="KP26" s="123"/>
      <c r="KQ26" s="123"/>
      <c r="KR26" s="123"/>
      <c r="KS26" s="123"/>
      <c r="KT26" s="123"/>
      <c r="KU26" s="123"/>
      <c r="KV26" s="123"/>
      <c r="KW26" s="123"/>
      <c r="KX26" s="123"/>
      <c r="KY26" s="123"/>
      <c r="KZ26" s="123"/>
      <c r="LA26" s="123"/>
      <c r="LB26" s="123"/>
      <c r="LC26" s="123"/>
      <c r="LD26" s="123"/>
      <c r="LE26" s="123"/>
      <c r="LF26" s="123"/>
      <c r="LG26" s="123"/>
      <c r="LH26" s="123"/>
      <c r="LI26" s="123"/>
      <c r="LJ26" s="123"/>
      <c r="LK26" s="123"/>
      <c r="LL26" s="123"/>
      <c r="LM26" s="123"/>
      <c r="LN26" s="123"/>
      <c r="LO26" s="123"/>
      <c r="LP26" s="123"/>
      <c r="LQ26" s="123"/>
      <c r="LR26" s="123"/>
      <c r="LS26" s="123"/>
      <c r="LT26" s="123"/>
      <c r="LU26" s="123"/>
      <c r="LV26" s="123"/>
      <c r="LW26" s="123"/>
      <c r="LX26" s="123"/>
      <c r="LY26" s="123"/>
      <c r="LZ26" s="123"/>
      <c r="MA26" s="123"/>
      <c r="MB26" s="123"/>
      <c r="MC26" s="123"/>
      <c r="MD26" s="123"/>
      <c r="ME26" s="123"/>
      <c r="MF26" s="123"/>
      <c r="MG26" s="123"/>
      <c r="MH26" s="123"/>
      <c r="MI26" s="123"/>
      <c r="MJ26" s="123"/>
      <c r="MK26" s="123"/>
      <c r="ML26" s="123"/>
      <c r="MM26" s="123"/>
      <c r="MN26" s="123"/>
      <c r="MO26" s="123"/>
      <c r="MP26" s="123"/>
      <c r="MQ26" s="123"/>
      <c r="MR26" s="123"/>
      <c r="MS26" s="123"/>
      <c r="MT26" s="123"/>
      <c r="MU26" s="123"/>
      <c r="MV26" s="123"/>
      <c r="MW26" s="123"/>
      <c r="MX26" s="123"/>
      <c r="MY26" s="123"/>
      <c r="MZ26" s="123"/>
      <c r="NA26" s="123"/>
      <c r="NB26" s="123"/>
      <c r="NC26" s="123"/>
      <c r="ND26" s="123"/>
      <c r="NE26" s="126"/>
      <c r="NF26" s="123"/>
    </row>
    <row r="27" spans="2:370" ht="16.5" thickBot="1" x14ac:dyDescent="0.3">
      <c r="B27" s="20">
        <v>11</v>
      </c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4"/>
      <c r="AO27" s="124"/>
      <c r="AP27" s="124"/>
      <c r="AQ27" s="124"/>
      <c r="AR27" s="124"/>
      <c r="AS27" s="124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24"/>
      <c r="BL27" s="124"/>
      <c r="BM27" s="124"/>
      <c r="BN27" s="124"/>
      <c r="BO27" s="124"/>
      <c r="BP27" s="124"/>
      <c r="BQ27" s="124"/>
      <c r="BR27" s="124"/>
      <c r="BS27" s="124"/>
      <c r="BT27" s="124"/>
      <c r="BU27" s="124"/>
      <c r="BV27" s="124"/>
      <c r="BW27" s="124"/>
      <c r="BX27" s="124"/>
      <c r="BY27" s="124"/>
      <c r="BZ27" s="124"/>
      <c r="CA27" s="124"/>
      <c r="CB27" s="124"/>
      <c r="CC27" s="124"/>
      <c r="CD27" s="124"/>
      <c r="CE27" s="124"/>
      <c r="CF27" s="124"/>
      <c r="CG27" s="124"/>
      <c r="CH27" s="124"/>
      <c r="CI27" s="124"/>
      <c r="CJ27" s="124"/>
      <c r="CK27" s="124"/>
      <c r="CL27" s="124"/>
      <c r="CM27" s="124"/>
      <c r="CN27" s="124"/>
      <c r="CO27" s="124"/>
      <c r="CP27" s="124"/>
      <c r="CQ27" s="124"/>
      <c r="CR27" s="124"/>
      <c r="CS27" s="124"/>
      <c r="CT27" s="124"/>
      <c r="CU27" s="124"/>
      <c r="CV27" s="124"/>
      <c r="CW27" s="124"/>
      <c r="CX27" s="124"/>
      <c r="CY27" s="124"/>
      <c r="CZ27" s="124"/>
      <c r="DA27" s="124"/>
      <c r="DB27" s="124"/>
      <c r="DC27" s="124"/>
      <c r="DD27" s="124"/>
      <c r="DE27" s="124"/>
      <c r="DF27" s="124"/>
      <c r="DG27" s="124"/>
      <c r="DH27" s="124"/>
      <c r="DI27" s="124"/>
      <c r="DJ27" s="124"/>
      <c r="DK27" s="124"/>
      <c r="DL27" s="124"/>
      <c r="DM27" s="124"/>
      <c r="DN27" s="124"/>
      <c r="DO27" s="124"/>
      <c r="DP27" s="124"/>
      <c r="DQ27" s="124"/>
      <c r="DR27" s="124"/>
      <c r="DS27" s="124"/>
      <c r="DT27" s="124"/>
      <c r="DU27" s="124"/>
      <c r="DV27" s="124"/>
      <c r="DW27" s="124"/>
      <c r="DX27" s="124"/>
      <c r="DY27" s="124"/>
      <c r="DZ27" s="124"/>
      <c r="EA27" s="124"/>
      <c r="EB27" s="124"/>
      <c r="EC27" s="124"/>
      <c r="ED27" s="124"/>
      <c r="EE27" s="124"/>
      <c r="EF27" s="124"/>
      <c r="EG27" s="124"/>
      <c r="EH27" s="124"/>
      <c r="EI27" s="124"/>
      <c r="EJ27" s="124"/>
      <c r="EK27" s="124"/>
      <c r="EL27" s="124"/>
      <c r="EM27" s="124"/>
      <c r="EN27" s="124"/>
      <c r="EO27" s="124"/>
      <c r="EP27" s="124"/>
      <c r="EQ27" s="124"/>
      <c r="ER27" s="124"/>
      <c r="ES27" s="124"/>
      <c r="ET27" s="124"/>
      <c r="EU27" s="124"/>
      <c r="EV27" s="124"/>
      <c r="EW27" s="124"/>
      <c r="EX27" s="124"/>
      <c r="EY27" s="124"/>
      <c r="EZ27" s="124"/>
      <c r="FA27" s="124"/>
      <c r="FB27" s="124"/>
      <c r="FC27" s="124"/>
      <c r="FD27" s="124"/>
      <c r="FE27" s="124"/>
      <c r="FF27" s="124"/>
      <c r="FG27" s="124"/>
      <c r="FH27" s="124"/>
      <c r="FI27" s="124"/>
      <c r="FJ27" s="124"/>
      <c r="FK27" s="124"/>
      <c r="FL27" s="124"/>
      <c r="FM27" s="124"/>
      <c r="FN27" s="124"/>
      <c r="FO27" s="124"/>
      <c r="FP27" s="124"/>
      <c r="FQ27" s="124"/>
      <c r="FR27" s="124"/>
      <c r="FS27" s="124"/>
      <c r="FT27" s="124"/>
      <c r="FU27" s="124"/>
      <c r="FV27" s="124"/>
      <c r="FW27" s="124"/>
      <c r="FX27" s="124"/>
      <c r="FY27" s="124"/>
      <c r="FZ27" s="124"/>
      <c r="GA27" s="124"/>
      <c r="GB27" s="124"/>
      <c r="GC27" s="124"/>
      <c r="GD27" s="124"/>
      <c r="GE27" s="124"/>
      <c r="GF27" s="124"/>
      <c r="GG27" s="124"/>
      <c r="GH27" s="124"/>
      <c r="GI27" s="124"/>
      <c r="GJ27" s="124"/>
      <c r="GK27" s="124"/>
      <c r="GL27" s="124"/>
      <c r="GM27" s="124"/>
      <c r="GN27" s="124"/>
      <c r="GO27" s="124"/>
      <c r="GP27" s="124"/>
      <c r="GQ27" s="124"/>
      <c r="GR27" s="124"/>
      <c r="GS27" s="124"/>
      <c r="GT27" s="124"/>
      <c r="GU27" s="124"/>
      <c r="GV27" s="124"/>
      <c r="GW27" s="124"/>
      <c r="GX27" s="124"/>
      <c r="GY27" s="124"/>
      <c r="GZ27" s="124"/>
      <c r="HA27" s="124"/>
      <c r="HB27" s="124"/>
      <c r="HC27" s="124"/>
      <c r="HD27" s="124"/>
      <c r="HE27" s="124"/>
      <c r="HF27" s="124"/>
      <c r="HG27" s="124"/>
      <c r="HH27" s="124"/>
      <c r="HI27" s="124"/>
      <c r="HJ27" s="124"/>
      <c r="HK27" s="124"/>
      <c r="HL27" s="124"/>
      <c r="HM27" s="124"/>
      <c r="HN27" s="124"/>
      <c r="HO27" s="124"/>
      <c r="HP27" s="124"/>
      <c r="HQ27" s="124"/>
      <c r="HR27" s="124"/>
      <c r="HS27" s="124"/>
      <c r="HT27" s="124"/>
      <c r="HU27" s="124"/>
      <c r="HV27" s="124"/>
      <c r="HW27" s="124"/>
      <c r="HX27" s="124"/>
      <c r="HY27" s="124"/>
      <c r="HZ27" s="124"/>
      <c r="IA27" s="124"/>
      <c r="IB27" s="124"/>
      <c r="IC27" s="124"/>
      <c r="ID27" s="124"/>
      <c r="IE27" s="124"/>
      <c r="IF27" s="124"/>
      <c r="IG27" s="124"/>
      <c r="IH27" s="124"/>
      <c r="II27" s="124"/>
      <c r="IJ27" s="124"/>
      <c r="IK27" s="124"/>
      <c r="IL27" s="124"/>
      <c r="IM27" s="124"/>
      <c r="IN27" s="124"/>
      <c r="IO27" s="124"/>
      <c r="IP27" s="124"/>
      <c r="IQ27" s="124"/>
      <c r="IR27" s="124"/>
      <c r="IS27" s="124"/>
      <c r="IT27" s="124"/>
      <c r="IU27" s="124"/>
      <c r="IV27" s="124"/>
      <c r="IW27" s="124"/>
      <c r="IX27" s="124"/>
      <c r="IY27" s="124"/>
      <c r="IZ27" s="124"/>
      <c r="JA27" s="124"/>
      <c r="JB27" s="124"/>
      <c r="JC27" s="124"/>
      <c r="JD27" s="124"/>
      <c r="JE27" s="124"/>
      <c r="JF27" s="124"/>
      <c r="JG27" s="124"/>
      <c r="JH27" s="124"/>
      <c r="JI27" s="124"/>
      <c r="JJ27" s="124"/>
      <c r="JK27" s="124"/>
      <c r="JL27" s="124"/>
      <c r="JM27" s="124"/>
      <c r="JN27" s="124"/>
      <c r="JO27" s="124"/>
      <c r="JP27" s="124"/>
      <c r="JQ27" s="124"/>
      <c r="JR27" s="124"/>
      <c r="JS27" s="124"/>
      <c r="JT27" s="124"/>
      <c r="JU27" s="124"/>
      <c r="JV27" s="124"/>
      <c r="JW27" s="124"/>
      <c r="JX27" s="124"/>
      <c r="JY27" s="124"/>
      <c r="JZ27" s="124"/>
      <c r="KA27" s="124"/>
      <c r="KB27" s="124"/>
      <c r="KC27" s="124"/>
      <c r="KD27" s="124"/>
      <c r="KE27" s="124"/>
      <c r="KF27" s="124"/>
      <c r="KG27" s="124"/>
      <c r="KH27" s="124"/>
      <c r="KI27" s="124"/>
      <c r="KJ27" s="124"/>
      <c r="KK27" s="124"/>
      <c r="KL27" s="124"/>
      <c r="KM27" s="124"/>
      <c r="KN27" s="124"/>
      <c r="KO27" s="124"/>
      <c r="KP27" s="124"/>
      <c r="KQ27" s="124"/>
      <c r="KR27" s="124"/>
      <c r="KS27" s="124"/>
      <c r="KT27" s="124"/>
      <c r="KU27" s="124"/>
      <c r="KV27" s="124"/>
      <c r="KW27" s="124"/>
      <c r="KX27" s="124"/>
      <c r="KY27" s="124"/>
      <c r="KZ27" s="124"/>
      <c r="LA27" s="124"/>
      <c r="LB27" s="124"/>
      <c r="LC27" s="124"/>
      <c r="LD27" s="124"/>
      <c r="LE27" s="124"/>
      <c r="LF27" s="124"/>
      <c r="LG27" s="124"/>
      <c r="LH27" s="124"/>
      <c r="LI27" s="124"/>
      <c r="LJ27" s="124"/>
      <c r="LK27" s="124"/>
      <c r="LL27" s="124"/>
      <c r="LM27" s="124"/>
      <c r="LN27" s="124"/>
      <c r="LO27" s="124"/>
      <c r="LP27" s="124"/>
      <c r="LQ27" s="124"/>
      <c r="LR27" s="124"/>
      <c r="LS27" s="124"/>
      <c r="LT27" s="124"/>
      <c r="LU27" s="124"/>
      <c r="LV27" s="124"/>
      <c r="LW27" s="124"/>
      <c r="LX27" s="124"/>
      <c r="LY27" s="124"/>
      <c r="LZ27" s="124"/>
      <c r="MA27" s="124"/>
      <c r="MB27" s="124"/>
      <c r="MC27" s="124"/>
      <c r="MD27" s="124"/>
      <c r="ME27" s="124"/>
      <c r="MF27" s="124"/>
      <c r="MG27" s="124"/>
      <c r="MH27" s="124"/>
      <c r="MI27" s="124"/>
      <c r="MJ27" s="124"/>
      <c r="MK27" s="124"/>
      <c r="ML27" s="124"/>
      <c r="MM27" s="124"/>
      <c r="MN27" s="124"/>
      <c r="MO27" s="124"/>
      <c r="MP27" s="124"/>
      <c r="MQ27" s="124"/>
      <c r="MR27" s="124"/>
      <c r="MS27" s="124"/>
      <c r="MT27" s="124"/>
      <c r="MU27" s="124"/>
      <c r="MV27" s="124"/>
      <c r="MW27" s="124"/>
      <c r="MX27" s="124"/>
      <c r="MY27" s="124"/>
      <c r="MZ27" s="124"/>
      <c r="NA27" s="124"/>
      <c r="NB27" s="124"/>
      <c r="NC27" s="124"/>
      <c r="ND27" s="124"/>
      <c r="NE27" s="156"/>
      <c r="NF27" s="124"/>
    </row>
    <row r="28" spans="2:370" ht="16.5" thickBot="1" x14ac:dyDescent="0.3">
      <c r="B28" s="7" t="s">
        <v>10</v>
      </c>
      <c r="C28" s="9" t="s">
        <v>10</v>
      </c>
      <c r="D28" s="9" t="s">
        <v>10</v>
      </c>
      <c r="E28" s="9" t="s">
        <v>10</v>
      </c>
      <c r="F28" s="9" t="s">
        <v>10</v>
      </c>
      <c r="G28" s="9" t="s">
        <v>10</v>
      </c>
      <c r="H28" s="9" t="s">
        <v>10</v>
      </c>
      <c r="I28" s="9" t="s">
        <v>10</v>
      </c>
      <c r="J28" s="9" t="s">
        <v>10</v>
      </c>
      <c r="K28" s="9" t="s">
        <v>10</v>
      </c>
      <c r="L28" s="9" t="s">
        <v>10</v>
      </c>
      <c r="M28" s="9" t="s">
        <v>10</v>
      </c>
      <c r="N28" s="9" t="s">
        <v>10</v>
      </c>
      <c r="O28" s="9" t="s">
        <v>10</v>
      </c>
      <c r="P28" s="9" t="s">
        <v>10</v>
      </c>
      <c r="Q28" s="9" t="s">
        <v>10</v>
      </c>
      <c r="R28" s="9" t="s">
        <v>10</v>
      </c>
      <c r="S28" s="9" t="s">
        <v>10</v>
      </c>
      <c r="T28" s="9" t="s">
        <v>10</v>
      </c>
      <c r="U28" s="9" t="s">
        <v>10</v>
      </c>
      <c r="V28" s="9" t="s">
        <v>10</v>
      </c>
      <c r="W28" s="9" t="s">
        <v>10</v>
      </c>
      <c r="X28" s="9" t="s">
        <v>10</v>
      </c>
      <c r="Y28" s="9" t="s">
        <v>10</v>
      </c>
      <c r="Z28" s="9" t="s">
        <v>10</v>
      </c>
      <c r="AA28" s="9" t="s">
        <v>10</v>
      </c>
      <c r="AB28" s="9" t="s">
        <v>10</v>
      </c>
      <c r="AC28" s="9" t="s">
        <v>10</v>
      </c>
      <c r="AD28" s="9" t="s">
        <v>10</v>
      </c>
      <c r="AE28" s="9" t="s">
        <v>10</v>
      </c>
      <c r="AF28" s="9" t="s">
        <v>10</v>
      </c>
      <c r="AG28" s="9" t="s">
        <v>10</v>
      </c>
      <c r="AH28" s="9" t="s">
        <v>10</v>
      </c>
      <c r="AI28" s="9" t="s">
        <v>10</v>
      </c>
      <c r="AJ28" s="9" t="s">
        <v>10</v>
      </c>
      <c r="AK28" s="9" t="s">
        <v>10</v>
      </c>
      <c r="AL28" s="9" t="s">
        <v>10</v>
      </c>
      <c r="AM28" s="9" t="s">
        <v>10</v>
      </c>
      <c r="AN28" s="9" t="s">
        <v>10</v>
      </c>
      <c r="AO28" s="9" t="s">
        <v>10</v>
      </c>
      <c r="AP28" s="9" t="s">
        <v>10</v>
      </c>
      <c r="AQ28" s="9" t="s">
        <v>10</v>
      </c>
      <c r="AR28" s="9" t="s">
        <v>10</v>
      </c>
      <c r="AS28" s="9" t="s">
        <v>10</v>
      </c>
      <c r="AT28" s="9" t="s">
        <v>10</v>
      </c>
      <c r="AU28" s="9" t="s">
        <v>10</v>
      </c>
      <c r="AV28" s="9" t="s">
        <v>10</v>
      </c>
      <c r="AW28" s="9" t="s">
        <v>10</v>
      </c>
      <c r="AX28" s="9" t="s">
        <v>10</v>
      </c>
      <c r="AY28" s="9" t="s">
        <v>10</v>
      </c>
      <c r="AZ28" s="9" t="s">
        <v>10</v>
      </c>
      <c r="BA28" s="9" t="s">
        <v>10</v>
      </c>
      <c r="BB28" s="9" t="s">
        <v>10</v>
      </c>
      <c r="BC28" s="9" t="s">
        <v>10</v>
      </c>
      <c r="BD28" s="9" t="s">
        <v>10</v>
      </c>
      <c r="BE28" s="9" t="s">
        <v>10</v>
      </c>
      <c r="BF28" s="9" t="s">
        <v>10</v>
      </c>
      <c r="BG28" s="9" t="s">
        <v>10</v>
      </c>
      <c r="BH28" s="9" t="s">
        <v>10</v>
      </c>
      <c r="BI28" s="9" t="s">
        <v>10</v>
      </c>
      <c r="BJ28" s="9" t="s">
        <v>10</v>
      </c>
      <c r="BK28" s="9" t="s">
        <v>10</v>
      </c>
      <c r="BL28" s="9" t="s">
        <v>10</v>
      </c>
      <c r="BM28" s="9" t="s">
        <v>10</v>
      </c>
      <c r="BN28" s="9" t="s">
        <v>10</v>
      </c>
      <c r="BO28" s="9" t="s">
        <v>10</v>
      </c>
      <c r="BP28" s="9" t="s">
        <v>10</v>
      </c>
      <c r="BQ28" s="9" t="s">
        <v>10</v>
      </c>
      <c r="BR28" s="9" t="s">
        <v>10</v>
      </c>
      <c r="BS28" s="9" t="s">
        <v>10</v>
      </c>
      <c r="BT28" s="9" t="s">
        <v>10</v>
      </c>
      <c r="BU28" s="9" t="s">
        <v>10</v>
      </c>
      <c r="BV28" s="9" t="s">
        <v>10</v>
      </c>
      <c r="BW28" s="9" t="s">
        <v>10</v>
      </c>
      <c r="BX28" s="9" t="s">
        <v>10</v>
      </c>
      <c r="BY28" s="9" t="s">
        <v>10</v>
      </c>
      <c r="BZ28" s="9" t="s">
        <v>10</v>
      </c>
      <c r="CA28" s="9" t="s">
        <v>10</v>
      </c>
      <c r="CB28" s="9" t="s">
        <v>10</v>
      </c>
      <c r="CC28" s="9" t="s">
        <v>10</v>
      </c>
      <c r="CD28" s="9" t="s">
        <v>10</v>
      </c>
      <c r="CE28" s="9" t="s">
        <v>10</v>
      </c>
      <c r="CF28" s="9" t="s">
        <v>10</v>
      </c>
      <c r="CG28" s="9" t="s">
        <v>10</v>
      </c>
      <c r="CH28" s="9" t="s">
        <v>10</v>
      </c>
      <c r="CI28" s="9" t="s">
        <v>10</v>
      </c>
      <c r="CJ28" s="9" t="s">
        <v>10</v>
      </c>
      <c r="CK28" s="9" t="s">
        <v>10</v>
      </c>
      <c r="CL28" s="9" t="s">
        <v>10</v>
      </c>
      <c r="CM28" s="9" t="s">
        <v>10</v>
      </c>
      <c r="CN28" s="9" t="s">
        <v>10</v>
      </c>
      <c r="CO28" s="9" t="s">
        <v>10</v>
      </c>
      <c r="CP28" s="9" t="s">
        <v>10</v>
      </c>
      <c r="CQ28" s="9" t="s">
        <v>10</v>
      </c>
      <c r="CR28" s="9" t="s">
        <v>10</v>
      </c>
      <c r="CS28" s="9" t="s">
        <v>10</v>
      </c>
      <c r="CT28" s="9" t="s">
        <v>10</v>
      </c>
      <c r="CU28" s="9" t="s">
        <v>10</v>
      </c>
      <c r="CV28" s="9" t="s">
        <v>10</v>
      </c>
      <c r="CW28" s="9" t="s">
        <v>10</v>
      </c>
      <c r="CX28" s="9" t="s">
        <v>10</v>
      </c>
      <c r="CY28" s="9" t="s">
        <v>10</v>
      </c>
      <c r="CZ28" s="9" t="s">
        <v>10</v>
      </c>
      <c r="DA28" s="9" t="s">
        <v>10</v>
      </c>
      <c r="DB28" s="9" t="s">
        <v>10</v>
      </c>
      <c r="DC28" s="9" t="s">
        <v>10</v>
      </c>
      <c r="DD28" s="9" t="s">
        <v>10</v>
      </c>
      <c r="DE28" s="9" t="s">
        <v>10</v>
      </c>
      <c r="DF28" s="9" t="s">
        <v>10</v>
      </c>
      <c r="DG28" s="9" t="s">
        <v>10</v>
      </c>
      <c r="DH28" s="9" t="s">
        <v>10</v>
      </c>
      <c r="DI28" s="9" t="s">
        <v>10</v>
      </c>
      <c r="DJ28" s="9" t="s">
        <v>10</v>
      </c>
      <c r="DK28" s="9" t="s">
        <v>10</v>
      </c>
      <c r="DL28" s="9" t="s">
        <v>10</v>
      </c>
      <c r="DM28" s="9" t="s">
        <v>10</v>
      </c>
      <c r="DN28" s="9" t="s">
        <v>10</v>
      </c>
      <c r="DO28" s="9" t="s">
        <v>10</v>
      </c>
      <c r="DP28" s="9" t="s">
        <v>10</v>
      </c>
      <c r="DQ28" s="9" t="s">
        <v>10</v>
      </c>
      <c r="DR28" s="9" t="s">
        <v>10</v>
      </c>
      <c r="DS28" s="9" t="s">
        <v>10</v>
      </c>
      <c r="DT28" s="9" t="s">
        <v>10</v>
      </c>
      <c r="DU28" s="9" t="s">
        <v>10</v>
      </c>
      <c r="DV28" s="9" t="s">
        <v>10</v>
      </c>
      <c r="DW28" s="9" t="s">
        <v>10</v>
      </c>
      <c r="DX28" s="9" t="s">
        <v>10</v>
      </c>
      <c r="DY28" s="9" t="s">
        <v>10</v>
      </c>
      <c r="DZ28" s="9" t="s">
        <v>10</v>
      </c>
      <c r="EA28" s="9" t="s">
        <v>10</v>
      </c>
      <c r="EB28" s="9" t="s">
        <v>10</v>
      </c>
      <c r="EC28" s="9" t="s">
        <v>10</v>
      </c>
      <c r="ED28" s="9" t="s">
        <v>10</v>
      </c>
      <c r="EE28" s="9" t="s">
        <v>10</v>
      </c>
      <c r="EF28" s="9" t="s">
        <v>10</v>
      </c>
      <c r="EG28" s="9" t="s">
        <v>10</v>
      </c>
      <c r="EH28" s="9" t="s">
        <v>10</v>
      </c>
      <c r="EI28" s="9" t="s">
        <v>10</v>
      </c>
      <c r="EJ28" s="9" t="s">
        <v>10</v>
      </c>
      <c r="EK28" s="9" t="s">
        <v>10</v>
      </c>
      <c r="EL28" s="9" t="s">
        <v>10</v>
      </c>
      <c r="EM28" s="9" t="s">
        <v>10</v>
      </c>
      <c r="EN28" s="9" t="s">
        <v>10</v>
      </c>
      <c r="EO28" s="9" t="s">
        <v>10</v>
      </c>
      <c r="EP28" s="9" t="s">
        <v>10</v>
      </c>
      <c r="EQ28" s="9" t="s">
        <v>10</v>
      </c>
      <c r="ER28" s="9" t="s">
        <v>10</v>
      </c>
      <c r="ES28" s="9" t="s">
        <v>10</v>
      </c>
      <c r="ET28" s="9" t="s">
        <v>10</v>
      </c>
      <c r="EU28" s="9" t="s">
        <v>10</v>
      </c>
      <c r="EV28" s="9" t="s">
        <v>10</v>
      </c>
      <c r="EW28" s="9" t="s">
        <v>10</v>
      </c>
      <c r="EX28" s="9" t="s">
        <v>10</v>
      </c>
      <c r="EY28" s="9" t="s">
        <v>10</v>
      </c>
      <c r="EZ28" s="9" t="s">
        <v>10</v>
      </c>
      <c r="FA28" s="9" t="s">
        <v>10</v>
      </c>
      <c r="FB28" s="9" t="s">
        <v>10</v>
      </c>
      <c r="FC28" s="9" t="s">
        <v>10</v>
      </c>
      <c r="FD28" s="9" t="s">
        <v>10</v>
      </c>
      <c r="FE28" s="9" t="s">
        <v>10</v>
      </c>
      <c r="FF28" s="9" t="s">
        <v>10</v>
      </c>
      <c r="FG28" s="9" t="s">
        <v>10</v>
      </c>
      <c r="FH28" s="9" t="s">
        <v>10</v>
      </c>
      <c r="FI28" s="9" t="s">
        <v>10</v>
      </c>
      <c r="FJ28" s="9" t="s">
        <v>10</v>
      </c>
      <c r="FK28" s="9" t="s">
        <v>10</v>
      </c>
      <c r="FL28" s="9" t="s">
        <v>10</v>
      </c>
      <c r="FM28" s="9" t="s">
        <v>10</v>
      </c>
      <c r="FN28" s="9" t="s">
        <v>10</v>
      </c>
      <c r="FO28" s="9" t="s">
        <v>10</v>
      </c>
      <c r="FP28" s="9" t="s">
        <v>10</v>
      </c>
      <c r="FQ28" s="9" t="s">
        <v>10</v>
      </c>
      <c r="FR28" s="9" t="s">
        <v>10</v>
      </c>
      <c r="FS28" s="9" t="s">
        <v>10</v>
      </c>
      <c r="FT28" s="9" t="s">
        <v>10</v>
      </c>
      <c r="FU28" s="9" t="s">
        <v>10</v>
      </c>
      <c r="FV28" s="9" t="s">
        <v>10</v>
      </c>
      <c r="FW28" s="9" t="s">
        <v>10</v>
      </c>
      <c r="FX28" s="9" t="s">
        <v>10</v>
      </c>
      <c r="FY28" s="9" t="s">
        <v>10</v>
      </c>
      <c r="FZ28" s="9" t="s">
        <v>10</v>
      </c>
      <c r="GA28" s="9" t="s">
        <v>10</v>
      </c>
      <c r="GB28" s="9" t="s">
        <v>10</v>
      </c>
      <c r="GC28" s="9" t="s">
        <v>10</v>
      </c>
      <c r="GD28" s="9" t="s">
        <v>10</v>
      </c>
      <c r="GE28" s="9" t="s">
        <v>10</v>
      </c>
      <c r="GF28" s="9" t="s">
        <v>10</v>
      </c>
      <c r="GG28" s="9" t="s">
        <v>10</v>
      </c>
      <c r="GH28" s="9" t="s">
        <v>10</v>
      </c>
      <c r="GI28" s="9" t="s">
        <v>10</v>
      </c>
      <c r="GJ28" s="9" t="s">
        <v>10</v>
      </c>
      <c r="GK28" s="9" t="s">
        <v>10</v>
      </c>
      <c r="GL28" s="9" t="s">
        <v>10</v>
      </c>
      <c r="GM28" s="9" t="s">
        <v>10</v>
      </c>
      <c r="GN28" s="9" t="s">
        <v>10</v>
      </c>
      <c r="GO28" s="9" t="s">
        <v>10</v>
      </c>
      <c r="GP28" s="9" t="s">
        <v>10</v>
      </c>
      <c r="GQ28" s="9" t="s">
        <v>10</v>
      </c>
      <c r="GR28" s="9" t="s">
        <v>10</v>
      </c>
      <c r="GS28" s="9" t="s">
        <v>10</v>
      </c>
      <c r="GT28" s="9" t="s">
        <v>10</v>
      </c>
      <c r="GU28" s="9" t="s">
        <v>10</v>
      </c>
      <c r="GV28" s="9" t="s">
        <v>10</v>
      </c>
      <c r="GW28" s="9" t="s">
        <v>10</v>
      </c>
      <c r="GX28" s="9" t="s">
        <v>10</v>
      </c>
      <c r="GY28" s="9" t="s">
        <v>10</v>
      </c>
      <c r="GZ28" s="9" t="s">
        <v>10</v>
      </c>
      <c r="HA28" s="9" t="s">
        <v>10</v>
      </c>
      <c r="HB28" s="9" t="s">
        <v>10</v>
      </c>
      <c r="HC28" s="9" t="s">
        <v>10</v>
      </c>
      <c r="HD28" s="9" t="s">
        <v>10</v>
      </c>
      <c r="HE28" s="9" t="s">
        <v>10</v>
      </c>
      <c r="HF28" s="9" t="s">
        <v>10</v>
      </c>
      <c r="HG28" s="9" t="s">
        <v>10</v>
      </c>
      <c r="HH28" s="9" t="s">
        <v>10</v>
      </c>
      <c r="HI28" s="9" t="s">
        <v>10</v>
      </c>
      <c r="HJ28" s="9" t="s">
        <v>10</v>
      </c>
      <c r="HK28" s="9" t="s">
        <v>10</v>
      </c>
      <c r="HL28" s="9" t="s">
        <v>10</v>
      </c>
      <c r="HM28" s="9" t="s">
        <v>10</v>
      </c>
      <c r="HN28" s="9" t="s">
        <v>10</v>
      </c>
      <c r="HO28" s="9" t="s">
        <v>10</v>
      </c>
      <c r="HP28" s="9" t="s">
        <v>10</v>
      </c>
      <c r="HQ28" s="9" t="s">
        <v>10</v>
      </c>
      <c r="HR28" s="9" t="s">
        <v>10</v>
      </c>
      <c r="HS28" s="9" t="s">
        <v>10</v>
      </c>
      <c r="HT28" s="9" t="s">
        <v>10</v>
      </c>
      <c r="HU28" s="9" t="s">
        <v>10</v>
      </c>
      <c r="HV28" s="9" t="s">
        <v>10</v>
      </c>
      <c r="HW28" s="9" t="s">
        <v>10</v>
      </c>
      <c r="HX28" s="9" t="s">
        <v>10</v>
      </c>
      <c r="HY28" s="9" t="s">
        <v>10</v>
      </c>
      <c r="HZ28" s="9" t="s">
        <v>10</v>
      </c>
      <c r="IA28" s="9" t="s">
        <v>10</v>
      </c>
      <c r="IB28" s="9" t="s">
        <v>10</v>
      </c>
      <c r="IC28" s="9" t="s">
        <v>10</v>
      </c>
      <c r="ID28" s="9" t="s">
        <v>10</v>
      </c>
      <c r="IE28" s="9" t="s">
        <v>10</v>
      </c>
      <c r="IF28" s="9" t="s">
        <v>10</v>
      </c>
      <c r="IG28" s="9" t="s">
        <v>10</v>
      </c>
      <c r="IH28" s="9" t="s">
        <v>10</v>
      </c>
      <c r="II28" s="9" t="s">
        <v>10</v>
      </c>
      <c r="IJ28" s="9" t="s">
        <v>10</v>
      </c>
      <c r="IK28" s="9" t="s">
        <v>10</v>
      </c>
      <c r="IL28" s="9" t="s">
        <v>10</v>
      </c>
      <c r="IM28" s="9" t="s">
        <v>10</v>
      </c>
      <c r="IN28" s="9" t="s">
        <v>10</v>
      </c>
      <c r="IO28" s="9" t="s">
        <v>10</v>
      </c>
      <c r="IP28" s="9" t="s">
        <v>10</v>
      </c>
      <c r="IQ28" s="9" t="s">
        <v>10</v>
      </c>
      <c r="IR28" s="9" t="s">
        <v>10</v>
      </c>
      <c r="IS28" s="9" t="s">
        <v>10</v>
      </c>
      <c r="IT28" s="9" t="s">
        <v>10</v>
      </c>
      <c r="IU28" s="9" t="s">
        <v>10</v>
      </c>
      <c r="IV28" s="9" t="s">
        <v>10</v>
      </c>
      <c r="IW28" s="9" t="s">
        <v>10</v>
      </c>
      <c r="IX28" s="9" t="s">
        <v>10</v>
      </c>
      <c r="IY28" s="9" t="s">
        <v>10</v>
      </c>
      <c r="IZ28" s="9" t="s">
        <v>10</v>
      </c>
      <c r="JA28" s="9" t="s">
        <v>10</v>
      </c>
      <c r="JB28" s="9" t="s">
        <v>10</v>
      </c>
      <c r="JC28" s="9" t="s">
        <v>10</v>
      </c>
      <c r="JD28" s="9" t="s">
        <v>10</v>
      </c>
      <c r="JE28" s="9" t="s">
        <v>10</v>
      </c>
      <c r="JF28" s="9" t="s">
        <v>10</v>
      </c>
      <c r="JG28" s="9" t="s">
        <v>10</v>
      </c>
      <c r="JH28" s="9" t="s">
        <v>10</v>
      </c>
      <c r="JI28" s="9" t="s">
        <v>10</v>
      </c>
      <c r="JJ28" s="9" t="s">
        <v>10</v>
      </c>
      <c r="JK28" s="9" t="s">
        <v>10</v>
      </c>
      <c r="JL28" s="9" t="s">
        <v>10</v>
      </c>
      <c r="JM28" s="9" t="s">
        <v>10</v>
      </c>
      <c r="JN28" s="9" t="s">
        <v>10</v>
      </c>
      <c r="JO28" s="9" t="s">
        <v>10</v>
      </c>
      <c r="JP28" s="9" t="s">
        <v>10</v>
      </c>
      <c r="JQ28" s="9" t="s">
        <v>10</v>
      </c>
      <c r="JR28" s="9" t="s">
        <v>10</v>
      </c>
      <c r="JS28" s="9" t="s">
        <v>10</v>
      </c>
      <c r="JT28" s="9" t="s">
        <v>10</v>
      </c>
      <c r="JU28" s="9" t="s">
        <v>10</v>
      </c>
      <c r="JV28" s="9" t="s">
        <v>10</v>
      </c>
      <c r="JW28" s="9" t="s">
        <v>10</v>
      </c>
      <c r="JX28" s="9" t="s">
        <v>10</v>
      </c>
      <c r="JY28" s="9" t="s">
        <v>10</v>
      </c>
      <c r="JZ28" s="9" t="s">
        <v>10</v>
      </c>
      <c r="KA28" s="9" t="s">
        <v>10</v>
      </c>
      <c r="KB28" s="9" t="s">
        <v>10</v>
      </c>
      <c r="KC28" s="9" t="s">
        <v>10</v>
      </c>
      <c r="KD28" s="9" t="s">
        <v>10</v>
      </c>
      <c r="KE28" s="9" t="s">
        <v>10</v>
      </c>
      <c r="KF28" s="9" t="s">
        <v>10</v>
      </c>
      <c r="KG28" s="9" t="s">
        <v>10</v>
      </c>
      <c r="KH28" s="9" t="s">
        <v>10</v>
      </c>
      <c r="KI28" s="9" t="s">
        <v>10</v>
      </c>
      <c r="KJ28" s="9" t="s">
        <v>10</v>
      </c>
      <c r="KK28" s="9" t="s">
        <v>10</v>
      </c>
      <c r="KL28" s="9" t="s">
        <v>10</v>
      </c>
      <c r="KM28" s="9" t="s">
        <v>10</v>
      </c>
      <c r="KN28" s="9" t="s">
        <v>10</v>
      </c>
      <c r="KO28" s="9" t="s">
        <v>10</v>
      </c>
      <c r="KP28" s="9" t="s">
        <v>10</v>
      </c>
      <c r="KQ28" s="9" t="s">
        <v>10</v>
      </c>
      <c r="KR28" s="9" t="s">
        <v>10</v>
      </c>
      <c r="KS28" s="9" t="s">
        <v>10</v>
      </c>
      <c r="KT28" s="9" t="s">
        <v>10</v>
      </c>
      <c r="KU28" s="9" t="s">
        <v>10</v>
      </c>
      <c r="KV28" s="9" t="s">
        <v>10</v>
      </c>
      <c r="KW28" s="9" t="s">
        <v>10</v>
      </c>
      <c r="KX28" s="9" t="s">
        <v>10</v>
      </c>
      <c r="KY28" s="9" t="s">
        <v>10</v>
      </c>
      <c r="KZ28" s="9" t="s">
        <v>10</v>
      </c>
      <c r="LA28" s="9" t="s">
        <v>10</v>
      </c>
      <c r="LB28" s="9" t="s">
        <v>10</v>
      </c>
      <c r="LC28" s="9" t="s">
        <v>10</v>
      </c>
      <c r="LD28" s="9" t="s">
        <v>10</v>
      </c>
      <c r="LE28" s="9" t="s">
        <v>10</v>
      </c>
      <c r="LF28" s="9" t="s">
        <v>10</v>
      </c>
      <c r="LG28" s="9" t="s">
        <v>10</v>
      </c>
      <c r="LH28" s="9" t="s">
        <v>10</v>
      </c>
      <c r="LI28" s="9" t="s">
        <v>10</v>
      </c>
      <c r="LJ28" s="9" t="s">
        <v>10</v>
      </c>
      <c r="LK28" s="9" t="s">
        <v>10</v>
      </c>
      <c r="LL28" s="9" t="s">
        <v>10</v>
      </c>
      <c r="LM28" s="9" t="s">
        <v>10</v>
      </c>
      <c r="LN28" s="9" t="s">
        <v>10</v>
      </c>
      <c r="LO28" s="9" t="s">
        <v>10</v>
      </c>
      <c r="LP28" s="9" t="s">
        <v>10</v>
      </c>
      <c r="LQ28" s="9" t="s">
        <v>10</v>
      </c>
      <c r="LR28" s="9" t="s">
        <v>10</v>
      </c>
      <c r="LS28" s="9" t="s">
        <v>10</v>
      </c>
      <c r="LT28" s="9" t="s">
        <v>10</v>
      </c>
      <c r="LU28" s="9" t="s">
        <v>10</v>
      </c>
      <c r="LV28" s="9" t="s">
        <v>10</v>
      </c>
      <c r="LW28" s="9" t="s">
        <v>10</v>
      </c>
      <c r="LX28" s="9" t="s">
        <v>10</v>
      </c>
      <c r="LY28" s="9" t="s">
        <v>10</v>
      </c>
      <c r="LZ28" s="9" t="s">
        <v>10</v>
      </c>
      <c r="MA28" s="9" t="s">
        <v>10</v>
      </c>
      <c r="MB28" s="9" t="s">
        <v>10</v>
      </c>
      <c r="MC28" s="9" t="s">
        <v>10</v>
      </c>
      <c r="MD28" s="9" t="s">
        <v>10</v>
      </c>
      <c r="ME28" s="9" t="s">
        <v>10</v>
      </c>
      <c r="MF28" s="9" t="s">
        <v>10</v>
      </c>
      <c r="MG28" s="9" t="s">
        <v>10</v>
      </c>
      <c r="MH28" s="9" t="s">
        <v>10</v>
      </c>
      <c r="MI28" s="9" t="s">
        <v>10</v>
      </c>
      <c r="MJ28" s="9" t="s">
        <v>10</v>
      </c>
      <c r="MK28" s="9" t="s">
        <v>10</v>
      </c>
      <c r="ML28" s="9" t="s">
        <v>10</v>
      </c>
      <c r="MM28" s="9" t="s">
        <v>10</v>
      </c>
      <c r="MN28" s="9" t="s">
        <v>10</v>
      </c>
      <c r="MO28" s="9" t="s">
        <v>10</v>
      </c>
      <c r="MP28" s="9" t="s">
        <v>10</v>
      </c>
      <c r="MQ28" s="9" t="s">
        <v>10</v>
      </c>
      <c r="MR28" s="9" t="s">
        <v>10</v>
      </c>
      <c r="MS28" s="9" t="s">
        <v>10</v>
      </c>
      <c r="MT28" s="9" t="s">
        <v>10</v>
      </c>
      <c r="MU28" s="9" t="s">
        <v>10</v>
      </c>
      <c r="MV28" s="9" t="s">
        <v>10</v>
      </c>
      <c r="MW28" s="9" t="s">
        <v>10</v>
      </c>
      <c r="MX28" s="9" t="s">
        <v>10</v>
      </c>
      <c r="MY28" s="9" t="s">
        <v>10</v>
      </c>
      <c r="MZ28" s="9" t="s">
        <v>10</v>
      </c>
      <c r="NA28" s="9" t="s">
        <v>10</v>
      </c>
      <c r="NB28" s="9" t="s">
        <v>10</v>
      </c>
      <c r="NC28" s="9" t="s">
        <v>10</v>
      </c>
      <c r="ND28" s="9" t="s">
        <v>10</v>
      </c>
      <c r="NE28" s="9" t="s">
        <v>10</v>
      </c>
      <c r="NF28" s="9" t="s">
        <v>10</v>
      </c>
    </row>
    <row r="29" spans="2:370" ht="15.75" x14ac:dyDescent="0.25">
      <c r="B29" s="15">
        <v>1</v>
      </c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  <c r="AP29" s="122"/>
      <c r="AQ29" s="122"/>
      <c r="AR29" s="122"/>
      <c r="AS29" s="122"/>
      <c r="AT29" s="122"/>
      <c r="AU29" s="122"/>
      <c r="AV29" s="122"/>
      <c r="AW29" s="122"/>
      <c r="AX29" s="122"/>
      <c r="AY29" s="122"/>
      <c r="AZ29" s="122"/>
      <c r="BA29" s="122"/>
      <c r="BB29" s="122"/>
      <c r="BC29" s="122"/>
      <c r="BD29" s="122"/>
      <c r="BE29" s="122"/>
      <c r="BF29" s="122"/>
      <c r="BG29" s="122"/>
      <c r="BH29" s="122"/>
      <c r="BI29" s="122"/>
      <c r="BJ29" s="122"/>
      <c r="BK29" s="122"/>
      <c r="BL29" s="122"/>
      <c r="BM29" s="122"/>
      <c r="BN29" s="122"/>
      <c r="BO29" s="122"/>
      <c r="BP29" s="122"/>
      <c r="BQ29" s="122"/>
      <c r="BR29" s="122"/>
      <c r="BS29" s="122"/>
      <c r="BT29" s="122"/>
      <c r="BU29" s="122"/>
      <c r="BV29" s="122"/>
      <c r="BW29" s="122"/>
      <c r="BX29" s="122"/>
      <c r="BY29" s="122"/>
      <c r="BZ29" s="122"/>
      <c r="CA29" s="122"/>
      <c r="CB29" s="122"/>
      <c r="CC29" s="122"/>
      <c r="CD29" s="122"/>
      <c r="CE29" s="122"/>
      <c r="CF29" s="122"/>
      <c r="CG29" s="122"/>
      <c r="CH29" s="122"/>
      <c r="CI29" s="122"/>
      <c r="CJ29" s="122"/>
      <c r="CK29" s="122"/>
      <c r="CL29" s="122"/>
      <c r="CM29" s="122"/>
      <c r="CN29" s="122"/>
      <c r="CO29" s="122"/>
      <c r="CP29" s="122"/>
      <c r="CQ29" s="122"/>
      <c r="CR29" s="122"/>
      <c r="CS29" s="122"/>
      <c r="CT29" s="122"/>
      <c r="CU29" s="122"/>
      <c r="CV29" s="122"/>
      <c r="CW29" s="122"/>
      <c r="CX29" s="122"/>
      <c r="CY29" s="122"/>
      <c r="CZ29" s="122"/>
      <c r="DA29" s="122"/>
      <c r="DB29" s="122"/>
      <c r="DC29" s="122"/>
      <c r="DD29" s="122"/>
      <c r="DE29" s="122"/>
      <c r="DF29" s="122"/>
      <c r="DG29" s="122"/>
      <c r="DH29" s="122"/>
      <c r="DI29" s="122"/>
      <c r="DJ29" s="122"/>
      <c r="DK29" s="122"/>
      <c r="DL29" s="122"/>
      <c r="DM29" s="122"/>
      <c r="DN29" s="122"/>
      <c r="DO29" s="122"/>
      <c r="DP29" s="122"/>
      <c r="DQ29" s="122"/>
      <c r="DR29" s="122"/>
      <c r="DS29" s="122"/>
      <c r="DT29" s="122"/>
      <c r="DU29" s="122"/>
      <c r="DV29" s="122"/>
      <c r="DW29" s="122"/>
      <c r="DX29" s="122"/>
      <c r="DY29" s="122"/>
      <c r="DZ29" s="122"/>
      <c r="EA29" s="122"/>
      <c r="EB29" s="122"/>
      <c r="EC29" s="122"/>
      <c r="ED29" s="122"/>
      <c r="EE29" s="122"/>
      <c r="EF29" s="122"/>
      <c r="EG29" s="122"/>
      <c r="EH29" s="122"/>
      <c r="EI29" s="122"/>
      <c r="EJ29" s="122"/>
      <c r="EK29" s="122"/>
      <c r="EL29" s="122"/>
      <c r="EM29" s="122"/>
      <c r="EN29" s="122"/>
      <c r="EO29" s="122"/>
      <c r="EP29" s="122"/>
      <c r="EQ29" s="122"/>
      <c r="ER29" s="122"/>
      <c r="ES29" s="122"/>
      <c r="ET29" s="122"/>
      <c r="EU29" s="122"/>
      <c r="EV29" s="122"/>
      <c r="EW29" s="122"/>
      <c r="EX29" s="122"/>
      <c r="EY29" s="122"/>
      <c r="EZ29" s="122"/>
      <c r="FA29" s="122"/>
      <c r="FB29" s="122"/>
      <c r="FC29" s="122"/>
      <c r="FD29" s="122"/>
      <c r="FE29" s="122"/>
      <c r="FF29" s="122"/>
      <c r="FG29" s="122"/>
      <c r="FH29" s="122"/>
      <c r="FI29" s="122"/>
      <c r="FJ29" s="122"/>
      <c r="FK29" s="122"/>
      <c r="FL29" s="122"/>
      <c r="FM29" s="122"/>
      <c r="FN29" s="122"/>
      <c r="FO29" s="122"/>
      <c r="FP29" s="122"/>
      <c r="FQ29" s="122"/>
      <c r="FR29" s="122"/>
      <c r="FS29" s="122"/>
      <c r="FT29" s="122"/>
      <c r="FU29" s="122"/>
      <c r="FV29" s="122"/>
      <c r="FW29" s="122"/>
      <c r="FX29" s="122"/>
      <c r="FY29" s="122"/>
      <c r="FZ29" s="122"/>
      <c r="GA29" s="122"/>
      <c r="GB29" s="122"/>
      <c r="GC29" s="122"/>
      <c r="GD29" s="122"/>
      <c r="GE29" s="122"/>
      <c r="GF29" s="122"/>
      <c r="GG29" s="122"/>
      <c r="GH29" s="122"/>
      <c r="GI29" s="122"/>
      <c r="GJ29" s="122"/>
      <c r="GK29" s="122"/>
      <c r="GL29" s="122"/>
      <c r="GM29" s="122"/>
      <c r="GN29" s="122"/>
      <c r="GO29" s="122"/>
      <c r="GP29" s="122"/>
      <c r="GQ29" s="122"/>
      <c r="GR29" s="122"/>
      <c r="GS29" s="122"/>
      <c r="GT29" s="122"/>
      <c r="GU29" s="122"/>
      <c r="GV29" s="122"/>
      <c r="GW29" s="122"/>
      <c r="GX29" s="122"/>
      <c r="GY29" s="122"/>
      <c r="GZ29" s="122"/>
      <c r="HA29" s="122"/>
      <c r="HB29" s="122"/>
      <c r="HC29" s="122"/>
      <c r="HD29" s="122"/>
      <c r="HE29" s="122"/>
      <c r="HF29" s="122"/>
      <c r="HG29" s="122"/>
      <c r="HH29" s="122"/>
      <c r="HI29" s="122"/>
      <c r="HJ29" s="122"/>
      <c r="HK29" s="122"/>
      <c r="HL29" s="122"/>
      <c r="HM29" s="122"/>
      <c r="HN29" s="122"/>
      <c r="HO29" s="122"/>
      <c r="HP29" s="122"/>
      <c r="HQ29" s="122"/>
      <c r="HR29" s="122"/>
      <c r="HS29" s="122"/>
      <c r="HT29" s="122"/>
      <c r="HU29" s="122"/>
      <c r="HV29" s="122"/>
      <c r="HW29" s="122"/>
      <c r="HX29" s="122"/>
      <c r="HY29" s="122"/>
      <c r="HZ29" s="122"/>
      <c r="IA29" s="122"/>
      <c r="IB29" s="122"/>
      <c r="IC29" s="122"/>
      <c r="ID29" s="122"/>
      <c r="IE29" s="122"/>
      <c r="IF29" s="122"/>
      <c r="IG29" s="122"/>
      <c r="IH29" s="122"/>
      <c r="II29" s="122"/>
      <c r="IJ29" s="122"/>
      <c r="IK29" s="122"/>
      <c r="IL29" s="122"/>
      <c r="IM29" s="122"/>
      <c r="IN29" s="122"/>
      <c r="IO29" s="122"/>
      <c r="IP29" s="122"/>
      <c r="IQ29" s="122"/>
      <c r="IR29" s="122"/>
      <c r="IS29" s="122"/>
      <c r="IT29" s="122"/>
      <c r="IU29" s="122"/>
      <c r="IV29" s="122"/>
      <c r="IW29" s="122"/>
      <c r="IX29" s="122"/>
      <c r="IY29" s="122"/>
      <c r="IZ29" s="122"/>
      <c r="JA29" s="122"/>
      <c r="JB29" s="122"/>
      <c r="JC29" s="122"/>
      <c r="JD29" s="122"/>
      <c r="JE29" s="122"/>
      <c r="JF29" s="122"/>
      <c r="JG29" s="122"/>
      <c r="JH29" s="122"/>
      <c r="JI29" s="122"/>
      <c r="JJ29" s="122"/>
      <c r="JK29" s="122"/>
      <c r="JL29" s="122"/>
      <c r="JM29" s="122"/>
      <c r="JN29" s="122"/>
      <c r="JO29" s="122"/>
      <c r="JP29" s="122"/>
      <c r="JQ29" s="122"/>
      <c r="JR29" s="122"/>
      <c r="JS29" s="122"/>
      <c r="JT29" s="122"/>
      <c r="JU29" s="122"/>
      <c r="JV29" s="122"/>
      <c r="JW29" s="122"/>
      <c r="JX29" s="122"/>
      <c r="JY29" s="122"/>
      <c r="JZ29" s="122"/>
      <c r="KA29" s="122"/>
      <c r="KB29" s="122"/>
      <c r="KC29" s="122"/>
      <c r="KD29" s="122"/>
      <c r="KE29" s="122"/>
      <c r="KF29" s="122"/>
      <c r="KG29" s="122"/>
      <c r="KH29" s="122"/>
      <c r="KI29" s="122"/>
      <c r="KJ29" s="122"/>
      <c r="KK29" s="122"/>
      <c r="KL29" s="122"/>
      <c r="KM29" s="122"/>
      <c r="KN29" s="122"/>
      <c r="KO29" s="122"/>
      <c r="KP29" s="122"/>
      <c r="KQ29" s="122"/>
      <c r="KR29" s="122"/>
      <c r="KS29" s="122"/>
      <c r="KT29" s="122"/>
      <c r="KU29" s="122"/>
      <c r="KV29" s="122"/>
      <c r="KW29" s="122"/>
      <c r="KX29" s="122"/>
      <c r="KY29" s="122"/>
      <c r="KZ29" s="122"/>
      <c r="LA29" s="122"/>
      <c r="LB29" s="122"/>
      <c r="LC29" s="122"/>
      <c r="LD29" s="122"/>
      <c r="LE29" s="122"/>
      <c r="LF29" s="122"/>
      <c r="LG29" s="122"/>
      <c r="LH29" s="122"/>
      <c r="LI29" s="122"/>
      <c r="LJ29" s="122"/>
      <c r="LK29" s="122"/>
      <c r="LL29" s="122"/>
      <c r="LM29" s="122"/>
      <c r="LN29" s="122"/>
      <c r="LO29" s="122"/>
      <c r="LP29" s="122"/>
      <c r="LQ29" s="122"/>
      <c r="LR29" s="122"/>
      <c r="LS29" s="122"/>
      <c r="LT29" s="122"/>
      <c r="LU29" s="122"/>
      <c r="LV29" s="122"/>
      <c r="LW29" s="122"/>
      <c r="LX29" s="122"/>
      <c r="LY29" s="122"/>
      <c r="LZ29" s="122"/>
      <c r="MA29" s="122"/>
      <c r="MB29" s="122"/>
      <c r="MC29" s="122"/>
      <c r="MD29" s="122"/>
      <c r="ME29" s="122"/>
      <c r="MF29" s="122"/>
      <c r="MG29" s="122"/>
      <c r="MH29" s="122"/>
      <c r="MI29" s="122"/>
      <c r="MJ29" s="122"/>
      <c r="MK29" s="122"/>
      <c r="ML29" s="122"/>
      <c r="MM29" s="122"/>
      <c r="MN29" s="122"/>
      <c r="MO29" s="122"/>
      <c r="MP29" s="122"/>
      <c r="MQ29" s="122"/>
      <c r="MR29" s="122"/>
      <c r="MS29" s="122"/>
      <c r="MT29" s="122"/>
      <c r="MU29" s="122"/>
      <c r="MV29" s="122"/>
      <c r="MW29" s="122"/>
      <c r="MX29" s="122"/>
      <c r="MY29" s="122"/>
      <c r="MZ29" s="122"/>
      <c r="NA29" s="122"/>
      <c r="NB29" s="122"/>
      <c r="NC29" s="122"/>
      <c r="ND29" s="122"/>
      <c r="NE29" s="122"/>
      <c r="NF29" s="122"/>
    </row>
    <row r="30" spans="2:370" ht="16.5" thickBot="1" x14ac:dyDescent="0.3">
      <c r="B30" s="16">
        <v>2</v>
      </c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24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24"/>
      <c r="BZ30" s="124"/>
      <c r="CA30" s="124"/>
      <c r="CB30" s="124"/>
      <c r="CC30" s="124"/>
      <c r="CD30" s="124"/>
      <c r="CE30" s="124"/>
      <c r="CF30" s="124"/>
      <c r="CG30" s="124"/>
      <c r="CH30" s="124"/>
      <c r="CI30" s="124"/>
      <c r="CJ30" s="124"/>
      <c r="CK30" s="124"/>
      <c r="CL30" s="124"/>
      <c r="CM30" s="124"/>
      <c r="CN30" s="124"/>
      <c r="CO30" s="124"/>
      <c r="CP30" s="124"/>
      <c r="CQ30" s="124"/>
      <c r="CR30" s="124"/>
      <c r="CS30" s="124"/>
      <c r="CT30" s="124"/>
      <c r="CU30" s="124"/>
      <c r="CV30" s="124"/>
      <c r="CW30" s="124"/>
      <c r="CX30" s="124"/>
      <c r="CY30" s="124"/>
      <c r="CZ30" s="124"/>
      <c r="DA30" s="124"/>
      <c r="DB30" s="124"/>
      <c r="DC30" s="124"/>
      <c r="DD30" s="124"/>
      <c r="DE30" s="124"/>
      <c r="DF30" s="124"/>
      <c r="DG30" s="124"/>
      <c r="DH30" s="124"/>
      <c r="DI30" s="124"/>
      <c r="DJ30" s="124"/>
      <c r="DK30" s="124"/>
      <c r="DL30" s="124"/>
      <c r="DM30" s="124"/>
      <c r="DN30" s="124"/>
      <c r="DO30" s="124"/>
      <c r="DP30" s="124"/>
      <c r="DQ30" s="124"/>
      <c r="DR30" s="124"/>
      <c r="DS30" s="124"/>
      <c r="DT30" s="124"/>
      <c r="DU30" s="124"/>
      <c r="DV30" s="124"/>
      <c r="DW30" s="124"/>
      <c r="DX30" s="124"/>
      <c r="DY30" s="124"/>
      <c r="DZ30" s="124"/>
      <c r="EA30" s="124"/>
      <c r="EB30" s="124"/>
      <c r="EC30" s="124"/>
      <c r="ED30" s="124"/>
      <c r="EE30" s="124"/>
      <c r="EF30" s="124"/>
      <c r="EG30" s="124"/>
      <c r="EH30" s="124"/>
      <c r="EI30" s="124"/>
      <c r="EJ30" s="124"/>
      <c r="EK30" s="124"/>
      <c r="EL30" s="124"/>
      <c r="EM30" s="124"/>
      <c r="EN30" s="124"/>
      <c r="EO30" s="124"/>
      <c r="EP30" s="124"/>
      <c r="EQ30" s="124"/>
      <c r="ER30" s="124"/>
      <c r="ES30" s="124"/>
      <c r="ET30" s="124"/>
      <c r="EU30" s="124"/>
      <c r="EV30" s="124"/>
      <c r="EW30" s="124"/>
      <c r="EX30" s="124"/>
      <c r="EY30" s="124"/>
      <c r="EZ30" s="124"/>
      <c r="FA30" s="124"/>
      <c r="FB30" s="124"/>
      <c r="FC30" s="124"/>
      <c r="FD30" s="124"/>
      <c r="FE30" s="124"/>
      <c r="FF30" s="124"/>
      <c r="FG30" s="124"/>
      <c r="FH30" s="124"/>
      <c r="FI30" s="124"/>
      <c r="FJ30" s="124"/>
      <c r="FK30" s="124"/>
      <c r="FL30" s="124"/>
      <c r="FM30" s="124"/>
      <c r="FN30" s="124"/>
      <c r="FO30" s="124"/>
      <c r="FP30" s="124"/>
      <c r="FQ30" s="124"/>
      <c r="FR30" s="124"/>
      <c r="FS30" s="124"/>
      <c r="FT30" s="124"/>
      <c r="FU30" s="124"/>
      <c r="FV30" s="124"/>
      <c r="FW30" s="124"/>
      <c r="FX30" s="124"/>
      <c r="FY30" s="124"/>
      <c r="FZ30" s="124"/>
      <c r="GA30" s="124"/>
      <c r="GB30" s="124"/>
      <c r="GC30" s="124"/>
      <c r="GD30" s="124"/>
      <c r="GE30" s="124"/>
      <c r="GF30" s="124"/>
      <c r="GG30" s="124"/>
      <c r="GH30" s="124"/>
      <c r="GI30" s="124"/>
      <c r="GJ30" s="124"/>
      <c r="GK30" s="124"/>
      <c r="GL30" s="124"/>
      <c r="GM30" s="124"/>
      <c r="GN30" s="124"/>
      <c r="GO30" s="124"/>
      <c r="GP30" s="124"/>
      <c r="GQ30" s="124"/>
      <c r="GR30" s="124"/>
      <c r="GS30" s="124"/>
      <c r="GT30" s="124"/>
      <c r="GU30" s="124"/>
      <c r="GV30" s="124"/>
      <c r="GW30" s="124"/>
      <c r="GX30" s="124"/>
      <c r="GY30" s="124"/>
      <c r="GZ30" s="124"/>
      <c r="HA30" s="124"/>
      <c r="HB30" s="124"/>
      <c r="HC30" s="124"/>
      <c r="HD30" s="124"/>
      <c r="HE30" s="124"/>
      <c r="HF30" s="124"/>
      <c r="HG30" s="124"/>
      <c r="HH30" s="124"/>
      <c r="HI30" s="124"/>
      <c r="HJ30" s="124"/>
      <c r="HK30" s="124"/>
      <c r="HL30" s="124"/>
      <c r="HM30" s="124"/>
      <c r="HN30" s="124"/>
      <c r="HO30" s="124"/>
      <c r="HP30" s="124"/>
      <c r="HQ30" s="124"/>
      <c r="HR30" s="124"/>
      <c r="HS30" s="124"/>
      <c r="HT30" s="124"/>
      <c r="HU30" s="124"/>
      <c r="HV30" s="124"/>
      <c r="HW30" s="124"/>
      <c r="HX30" s="124"/>
      <c r="HY30" s="124"/>
      <c r="HZ30" s="124"/>
      <c r="IA30" s="124"/>
      <c r="IB30" s="124"/>
      <c r="IC30" s="124"/>
      <c r="ID30" s="124"/>
      <c r="IE30" s="124"/>
      <c r="IF30" s="124"/>
      <c r="IG30" s="124"/>
      <c r="IH30" s="124"/>
      <c r="II30" s="124"/>
      <c r="IJ30" s="124"/>
      <c r="IK30" s="124"/>
      <c r="IL30" s="124"/>
      <c r="IM30" s="124"/>
      <c r="IN30" s="124"/>
      <c r="IO30" s="124"/>
      <c r="IP30" s="124"/>
      <c r="IQ30" s="124"/>
      <c r="IR30" s="124"/>
      <c r="IS30" s="124"/>
      <c r="IT30" s="124"/>
      <c r="IU30" s="124"/>
      <c r="IV30" s="124"/>
      <c r="IW30" s="124"/>
      <c r="IX30" s="124"/>
      <c r="IY30" s="124"/>
      <c r="IZ30" s="124"/>
      <c r="JA30" s="124"/>
      <c r="JB30" s="124"/>
      <c r="JC30" s="124"/>
      <c r="JD30" s="124"/>
      <c r="JE30" s="124"/>
      <c r="JF30" s="124"/>
      <c r="JG30" s="124"/>
      <c r="JH30" s="124"/>
      <c r="JI30" s="124"/>
      <c r="JJ30" s="124"/>
      <c r="JK30" s="124"/>
      <c r="JL30" s="124"/>
      <c r="JM30" s="124"/>
      <c r="JN30" s="124"/>
      <c r="JO30" s="124"/>
      <c r="JP30" s="124"/>
      <c r="JQ30" s="124"/>
      <c r="JR30" s="124"/>
      <c r="JS30" s="124"/>
      <c r="JT30" s="124"/>
      <c r="JU30" s="124"/>
      <c r="JV30" s="124"/>
      <c r="JW30" s="124"/>
      <c r="JX30" s="124"/>
      <c r="JY30" s="124"/>
      <c r="JZ30" s="124"/>
      <c r="KA30" s="124"/>
      <c r="KB30" s="124"/>
      <c r="KC30" s="124"/>
      <c r="KD30" s="124"/>
      <c r="KE30" s="124"/>
      <c r="KF30" s="124"/>
      <c r="KG30" s="124"/>
      <c r="KH30" s="124"/>
      <c r="KI30" s="124"/>
      <c r="KJ30" s="124"/>
      <c r="KK30" s="124"/>
      <c r="KL30" s="124"/>
      <c r="KM30" s="124"/>
      <c r="KN30" s="124"/>
      <c r="KO30" s="124"/>
      <c r="KP30" s="124"/>
      <c r="KQ30" s="124"/>
      <c r="KR30" s="124"/>
      <c r="KS30" s="124"/>
      <c r="KT30" s="124"/>
      <c r="KU30" s="124"/>
      <c r="KV30" s="124"/>
      <c r="KW30" s="124"/>
      <c r="KX30" s="124"/>
      <c r="KY30" s="124"/>
      <c r="KZ30" s="124"/>
      <c r="LA30" s="124"/>
      <c r="LB30" s="124"/>
      <c r="LC30" s="124"/>
      <c r="LD30" s="124"/>
      <c r="LE30" s="124"/>
      <c r="LF30" s="124"/>
      <c r="LG30" s="124"/>
      <c r="LH30" s="124"/>
      <c r="LI30" s="124"/>
      <c r="LJ30" s="124"/>
      <c r="LK30" s="124"/>
      <c r="LL30" s="124"/>
      <c r="LM30" s="124"/>
      <c r="LN30" s="124"/>
      <c r="LO30" s="124"/>
      <c r="LP30" s="124"/>
      <c r="LQ30" s="124"/>
      <c r="LR30" s="124"/>
      <c r="LS30" s="124"/>
      <c r="LT30" s="124"/>
      <c r="LU30" s="124"/>
      <c r="LV30" s="124"/>
      <c r="LW30" s="124"/>
      <c r="LX30" s="124"/>
      <c r="LY30" s="124"/>
      <c r="LZ30" s="124"/>
      <c r="MA30" s="124"/>
      <c r="MB30" s="124"/>
      <c r="MC30" s="124"/>
      <c r="MD30" s="124"/>
      <c r="ME30" s="124"/>
      <c r="MF30" s="124"/>
      <c r="MG30" s="124"/>
      <c r="MH30" s="124"/>
      <c r="MI30" s="124"/>
      <c r="MJ30" s="124"/>
      <c r="MK30" s="124"/>
      <c r="ML30" s="124"/>
      <c r="MM30" s="124"/>
      <c r="MN30" s="124"/>
      <c r="MO30" s="124"/>
      <c r="MP30" s="124"/>
      <c r="MQ30" s="124"/>
      <c r="MR30" s="124"/>
      <c r="MS30" s="124"/>
      <c r="MT30" s="124"/>
      <c r="MU30" s="124"/>
      <c r="MV30" s="124"/>
      <c r="MW30" s="124"/>
      <c r="MX30" s="124"/>
      <c r="MY30" s="124"/>
      <c r="MZ30" s="124"/>
      <c r="NA30" s="124"/>
      <c r="NB30" s="124"/>
      <c r="NC30" s="124"/>
      <c r="ND30" s="124"/>
      <c r="NE30" s="124"/>
      <c r="NF30" s="124"/>
    </row>
    <row r="32" spans="2:370" ht="300" customHeight="1" x14ac:dyDescent="0.25"/>
    <row r="33" spans="1:25" ht="300" customHeight="1" x14ac:dyDescent="0.25">
      <c r="A33" s="34" t="s">
        <v>21</v>
      </c>
    </row>
    <row r="34" spans="1:25" ht="29.25" thickBot="1" x14ac:dyDescent="0.5">
      <c r="C34" s="51"/>
      <c r="D34" s="51"/>
      <c r="E34" s="140" t="s">
        <v>31</v>
      </c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78"/>
      <c r="Y34" s="52"/>
    </row>
    <row r="35" spans="1:25" x14ac:dyDescent="0.25"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</row>
    <row r="36" spans="1:25" ht="15.75" thickBot="1" x14ac:dyDescent="0.3">
      <c r="C36" s="51"/>
      <c r="D36" s="51"/>
      <c r="E36" s="51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1"/>
      <c r="S36" s="51"/>
      <c r="T36" s="51"/>
      <c r="U36" s="51"/>
      <c r="V36" s="51"/>
      <c r="W36" s="51"/>
      <c r="X36" s="51"/>
      <c r="Y36" s="54"/>
    </row>
    <row r="37" spans="1:25" x14ac:dyDescent="0.25">
      <c r="C37" s="51"/>
      <c r="D37" s="55"/>
      <c r="E37" s="56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6"/>
      <c r="S37" s="56"/>
      <c r="T37" s="56"/>
      <c r="Y37" s="54"/>
    </row>
    <row r="38" spans="1:25" x14ac:dyDescent="0.25">
      <c r="C38" s="51"/>
      <c r="D38" s="61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Y38" s="54"/>
    </row>
    <row r="39" spans="1:25" x14ac:dyDescent="0.25">
      <c r="C39" s="51"/>
      <c r="D39" s="61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Y39" s="54"/>
    </row>
    <row r="40" spans="1:25" x14ac:dyDescent="0.25">
      <c r="C40" s="51"/>
      <c r="D40" s="61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Y40" s="54"/>
    </row>
    <row r="41" spans="1:25" x14ac:dyDescent="0.25">
      <c r="C41" s="51"/>
      <c r="D41" s="61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Y41" s="54"/>
    </row>
    <row r="42" spans="1:25" x14ac:dyDescent="0.25">
      <c r="C42" s="51"/>
      <c r="D42" s="61"/>
      <c r="E42" s="62"/>
      <c r="F42" s="66">
        <v>1</v>
      </c>
      <c r="G42" s="66">
        <v>2</v>
      </c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Y42" s="54"/>
    </row>
    <row r="43" spans="1:25" x14ac:dyDescent="0.25">
      <c r="C43" s="51"/>
      <c r="D43" s="61"/>
      <c r="E43" s="67" t="s">
        <v>10</v>
      </c>
      <c r="F43" s="131"/>
      <c r="G43" s="131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W43" s="1" t="s">
        <v>46</v>
      </c>
      <c r="X43" s="1">
        <v>1</v>
      </c>
      <c r="Y43" s="54"/>
    </row>
    <row r="44" spans="1:25" x14ac:dyDescent="0.25">
      <c r="C44" s="51"/>
      <c r="D44" s="61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Y44" s="54"/>
    </row>
    <row r="45" spans="1:25" x14ac:dyDescent="0.25">
      <c r="C45" s="51"/>
      <c r="D45" s="61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Y45" s="54"/>
    </row>
    <row r="46" spans="1:25" x14ac:dyDescent="0.25">
      <c r="C46" s="51"/>
      <c r="D46" s="61"/>
      <c r="E46" s="62"/>
      <c r="F46" s="66">
        <v>501</v>
      </c>
      <c r="G46" s="66">
        <v>502</v>
      </c>
      <c r="H46" s="66">
        <v>503</v>
      </c>
      <c r="I46" s="66">
        <v>504</v>
      </c>
      <c r="J46" s="66">
        <v>505</v>
      </c>
      <c r="K46" s="69">
        <v>506</v>
      </c>
      <c r="L46" s="66">
        <v>507</v>
      </c>
      <c r="M46" s="66">
        <v>508</v>
      </c>
      <c r="N46" s="66">
        <v>509</v>
      </c>
      <c r="O46" s="66">
        <v>510</v>
      </c>
      <c r="P46" s="66">
        <v>511</v>
      </c>
      <c r="Q46" s="69">
        <v>512</v>
      </c>
      <c r="R46" s="62"/>
      <c r="S46" s="62"/>
      <c r="T46" s="62"/>
      <c r="W46" s="1" t="s">
        <v>47</v>
      </c>
      <c r="X46" s="1">
        <v>1</v>
      </c>
      <c r="Y46" s="54"/>
    </row>
    <row r="47" spans="1:25" x14ac:dyDescent="0.25">
      <c r="C47" s="51"/>
      <c r="D47" s="61"/>
      <c r="E47" s="67" t="s">
        <v>32</v>
      </c>
      <c r="F47" s="131"/>
      <c r="G47" s="131"/>
      <c r="H47" s="131"/>
      <c r="I47" s="131"/>
      <c r="J47" s="131"/>
      <c r="K47" s="132"/>
      <c r="L47" s="131"/>
      <c r="M47" s="131"/>
      <c r="N47" s="131"/>
      <c r="O47" s="131"/>
      <c r="P47" s="131"/>
      <c r="Q47" s="132"/>
      <c r="R47" s="62"/>
      <c r="S47" s="62"/>
      <c r="T47" s="62"/>
      <c r="Y47" s="54"/>
    </row>
    <row r="48" spans="1:25" x14ac:dyDescent="0.25">
      <c r="C48" s="51"/>
      <c r="D48" s="61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Y48" s="54"/>
    </row>
    <row r="49" spans="3:367" x14ac:dyDescent="0.25">
      <c r="C49" s="51"/>
      <c r="D49" s="61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Y49" s="54"/>
    </row>
    <row r="50" spans="3:367" x14ac:dyDescent="0.25">
      <c r="C50" s="51"/>
      <c r="D50" s="61"/>
      <c r="E50" s="62"/>
      <c r="F50" s="66">
        <v>1</v>
      </c>
      <c r="G50" s="69">
        <v>2</v>
      </c>
      <c r="H50" s="66">
        <v>3</v>
      </c>
      <c r="I50" s="69">
        <v>4</v>
      </c>
      <c r="J50" s="66">
        <v>5</v>
      </c>
      <c r="K50" s="69">
        <v>6</v>
      </c>
      <c r="L50" s="66">
        <v>7</v>
      </c>
      <c r="M50" s="69">
        <v>8</v>
      </c>
      <c r="N50" s="66">
        <v>9</v>
      </c>
      <c r="O50" s="69">
        <v>10</v>
      </c>
      <c r="P50" s="66">
        <v>11</v>
      </c>
      <c r="Q50" s="62"/>
      <c r="R50" s="62"/>
      <c r="S50" s="62"/>
      <c r="T50" s="62"/>
      <c r="Y50" s="54"/>
    </row>
    <row r="51" spans="3:367" x14ac:dyDescent="0.25">
      <c r="C51" s="51"/>
      <c r="D51" s="61"/>
      <c r="E51" s="67" t="s">
        <v>9</v>
      </c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62"/>
      <c r="R51" s="62"/>
      <c r="S51" s="62"/>
      <c r="T51" s="62"/>
      <c r="Y51" s="54"/>
    </row>
    <row r="52" spans="3:367" x14ac:dyDescent="0.25">
      <c r="C52" s="51"/>
      <c r="D52" s="61"/>
      <c r="E52" s="62"/>
      <c r="F52" s="62"/>
      <c r="G52" s="62"/>
      <c r="H52" s="62"/>
      <c r="I52" s="62"/>
      <c r="J52" s="62"/>
      <c r="K52" s="68"/>
      <c r="L52" s="68"/>
      <c r="M52" s="68"/>
      <c r="N52" s="68"/>
      <c r="O52" s="68"/>
      <c r="P52" s="68"/>
      <c r="Q52" s="68"/>
      <c r="R52" s="62"/>
      <c r="S52" s="62"/>
      <c r="T52" s="62"/>
      <c r="Y52" s="54"/>
    </row>
    <row r="53" spans="3:367" x14ac:dyDescent="0.25">
      <c r="C53" s="51"/>
      <c r="D53" s="61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8"/>
      <c r="R53" s="62"/>
      <c r="S53" s="62"/>
      <c r="T53" s="62"/>
      <c r="Y53" s="54"/>
    </row>
    <row r="54" spans="3:367" ht="15.75" thickBot="1" x14ac:dyDescent="0.3">
      <c r="C54" s="51"/>
      <c r="D54" s="70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2"/>
      <c r="R54" s="71"/>
      <c r="S54" s="71"/>
      <c r="T54" s="71"/>
      <c r="Y54" s="54"/>
    </row>
    <row r="55" spans="3:367" x14ac:dyDescent="0.25">
      <c r="C55" s="51"/>
      <c r="D55" s="58"/>
      <c r="E55" s="59"/>
      <c r="F55" s="59"/>
      <c r="G55" s="60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6"/>
      <c r="S55" s="76"/>
      <c r="T55" s="76"/>
      <c r="Y55" s="54"/>
    </row>
    <row r="56" spans="3:367" x14ac:dyDescent="0.25">
      <c r="D56" s="63"/>
      <c r="E56" s="79" t="s">
        <v>23</v>
      </c>
      <c r="F56" s="80" t="s">
        <v>24</v>
      </c>
      <c r="G56" s="65"/>
    </row>
    <row r="57" spans="3:367" hidden="1" x14ac:dyDescent="0.25">
      <c r="D57" s="63"/>
      <c r="E57" s="134"/>
      <c r="F57" s="135"/>
      <c r="G57" s="65"/>
    </row>
    <row r="58" spans="3:367" hidden="1" x14ac:dyDescent="0.25">
      <c r="D58" s="63"/>
      <c r="E58" s="134"/>
      <c r="F58" s="135"/>
      <c r="G58" s="65"/>
    </row>
    <row r="59" spans="3:367" hidden="1" x14ac:dyDescent="0.25">
      <c r="D59" s="63"/>
      <c r="E59" s="134"/>
      <c r="F59" s="135"/>
      <c r="G59" s="65"/>
    </row>
    <row r="60" spans="3:367" hidden="1" x14ac:dyDescent="0.25">
      <c r="D60" s="63"/>
      <c r="E60" s="134"/>
      <c r="F60" s="135"/>
      <c r="G60" s="65"/>
    </row>
    <row r="61" spans="3:367" hidden="1" x14ac:dyDescent="0.25">
      <c r="D61" s="63"/>
      <c r="E61" s="134"/>
      <c r="F61" s="135"/>
      <c r="G61" s="65"/>
    </row>
    <row r="62" spans="3:367" hidden="1" x14ac:dyDescent="0.25">
      <c r="D62" s="63"/>
      <c r="E62" s="134"/>
      <c r="F62" s="135"/>
      <c r="G62" s="65"/>
    </row>
    <row r="63" spans="3:367" hidden="1" x14ac:dyDescent="0.25">
      <c r="D63" s="63"/>
      <c r="E63" s="134"/>
      <c r="F63" s="135"/>
      <c r="G63" s="65"/>
    </row>
    <row r="64" spans="3:367" hidden="1" x14ac:dyDescent="0.25">
      <c r="D64" s="63"/>
      <c r="E64" s="134"/>
      <c r="F64" s="135"/>
      <c r="G64" s="65"/>
      <c r="NC64" s="1">
        <f>COLUMN()</f>
        <v>367</v>
      </c>
    </row>
    <row r="65" spans="4:7" hidden="1" x14ac:dyDescent="0.25">
      <c r="D65" s="63"/>
      <c r="E65" s="134"/>
      <c r="F65" s="135"/>
      <c r="G65" s="65"/>
    </row>
    <row r="66" spans="4:7" hidden="1" x14ac:dyDescent="0.25">
      <c r="D66" s="63"/>
      <c r="E66" s="134"/>
      <c r="F66" s="135"/>
      <c r="G66" s="65"/>
    </row>
    <row r="67" spans="4:7" hidden="1" x14ac:dyDescent="0.25">
      <c r="D67" s="63"/>
      <c r="E67" s="134"/>
      <c r="F67" s="135"/>
      <c r="G67" s="65"/>
    </row>
    <row r="68" spans="4:7" hidden="1" x14ac:dyDescent="0.25">
      <c r="D68" s="63"/>
      <c r="E68" s="134"/>
      <c r="F68" s="135"/>
      <c r="G68" s="65"/>
    </row>
    <row r="69" spans="4:7" hidden="1" x14ac:dyDescent="0.25">
      <c r="D69" s="63"/>
      <c r="E69" s="134"/>
      <c r="F69" s="135"/>
      <c r="G69" s="65"/>
    </row>
    <row r="70" spans="4:7" hidden="1" x14ac:dyDescent="0.25">
      <c r="D70" s="63"/>
      <c r="E70" s="134"/>
      <c r="F70" s="135"/>
      <c r="G70" s="65"/>
    </row>
    <row r="71" spans="4:7" hidden="1" x14ac:dyDescent="0.25">
      <c r="D71" s="63"/>
      <c r="E71" s="134"/>
      <c r="F71" s="135"/>
      <c r="G71" s="65"/>
    </row>
    <row r="72" spans="4:7" hidden="1" x14ac:dyDescent="0.25">
      <c r="D72" s="63"/>
      <c r="E72" s="134"/>
      <c r="F72" s="135"/>
      <c r="G72" s="65"/>
    </row>
    <row r="73" spans="4:7" hidden="1" x14ac:dyDescent="0.25">
      <c r="D73" s="63"/>
      <c r="E73" s="134"/>
      <c r="F73" s="135"/>
      <c r="G73" s="65"/>
    </row>
    <row r="74" spans="4:7" hidden="1" x14ac:dyDescent="0.25">
      <c r="D74" s="63"/>
      <c r="E74" s="134"/>
      <c r="F74" s="135"/>
      <c r="G74" s="65"/>
    </row>
    <row r="75" spans="4:7" hidden="1" x14ac:dyDescent="0.25">
      <c r="D75" s="63"/>
      <c r="E75" s="134"/>
      <c r="F75" s="135"/>
      <c r="G75" s="65"/>
    </row>
    <row r="76" spans="4:7" hidden="1" x14ac:dyDescent="0.25">
      <c r="D76" s="63"/>
      <c r="E76" s="134"/>
      <c r="F76" s="135"/>
      <c r="G76" s="65"/>
    </row>
    <row r="77" spans="4:7" hidden="1" x14ac:dyDescent="0.25">
      <c r="D77" s="63"/>
      <c r="E77" s="134"/>
      <c r="F77" s="135"/>
      <c r="G77" s="65"/>
    </row>
    <row r="78" spans="4:7" hidden="1" x14ac:dyDescent="0.25">
      <c r="D78" s="63"/>
      <c r="E78" s="134"/>
      <c r="F78" s="135"/>
      <c r="G78" s="65"/>
    </row>
    <row r="79" spans="4:7" hidden="1" x14ac:dyDescent="0.25">
      <c r="D79" s="63"/>
      <c r="E79" s="134"/>
      <c r="F79" s="135"/>
      <c r="G79" s="65"/>
    </row>
    <row r="80" spans="4:7" hidden="1" x14ac:dyDescent="0.25">
      <c r="D80" s="63"/>
      <c r="E80" s="134"/>
      <c r="F80" s="135"/>
      <c r="G80" s="65"/>
    </row>
    <row r="81" spans="4:7" hidden="1" x14ac:dyDescent="0.25">
      <c r="D81" s="63"/>
      <c r="E81" s="134"/>
      <c r="F81" s="135"/>
      <c r="G81" s="65"/>
    </row>
    <row r="82" spans="4:7" hidden="1" x14ac:dyDescent="0.25">
      <c r="D82" s="63"/>
      <c r="E82" s="134"/>
      <c r="F82" s="135"/>
      <c r="G82" s="65"/>
    </row>
    <row r="83" spans="4:7" hidden="1" x14ac:dyDescent="0.25">
      <c r="D83" s="63"/>
      <c r="E83" s="134"/>
      <c r="F83" s="135"/>
      <c r="G83" s="65"/>
    </row>
    <row r="84" spans="4:7" hidden="1" x14ac:dyDescent="0.25">
      <c r="D84" s="63"/>
      <c r="E84" s="134"/>
      <c r="F84" s="135"/>
      <c r="G84" s="65"/>
    </row>
    <row r="85" spans="4:7" hidden="1" x14ac:dyDescent="0.25">
      <c r="D85" s="63"/>
      <c r="E85" s="134"/>
      <c r="F85" s="135"/>
      <c r="G85" s="65"/>
    </row>
    <row r="86" spans="4:7" hidden="1" x14ac:dyDescent="0.25">
      <c r="D86" s="63"/>
      <c r="E86" s="134"/>
      <c r="F86" s="135"/>
      <c r="G86" s="65"/>
    </row>
    <row r="87" spans="4:7" hidden="1" x14ac:dyDescent="0.25">
      <c r="D87" s="63"/>
      <c r="E87" s="134"/>
      <c r="F87" s="135"/>
      <c r="G87" s="65"/>
    </row>
    <row r="88" spans="4:7" hidden="1" x14ac:dyDescent="0.25">
      <c r="D88" s="63"/>
      <c r="E88" s="134"/>
      <c r="F88" s="135"/>
      <c r="G88" s="65"/>
    </row>
    <row r="89" spans="4:7" hidden="1" x14ac:dyDescent="0.25">
      <c r="D89" s="63"/>
      <c r="E89" s="134"/>
      <c r="F89" s="135"/>
      <c r="G89" s="65"/>
    </row>
    <row r="90" spans="4:7" hidden="1" x14ac:dyDescent="0.25">
      <c r="D90" s="63"/>
      <c r="E90" s="134"/>
      <c r="F90" s="135"/>
      <c r="G90" s="65"/>
    </row>
    <row r="91" spans="4:7" hidden="1" x14ac:dyDescent="0.25">
      <c r="D91" s="63"/>
      <c r="E91" s="134"/>
      <c r="F91" s="135"/>
      <c r="G91" s="65"/>
    </row>
    <row r="92" spans="4:7" hidden="1" x14ac:dyDescent="0.25">
      <c r="D92" s="63"/>
      <c r="E92" s="134"/>
      <c r="F92" s="135"/>
      <c r="G92" s="65"/>
    </row>
    <row r="93" spans="4:7" hidden="1" x14ac:dyDescent="0.25">
      <c r="D93" s="63"/>
      <c r="E93" s="134"/>
      <c r="F93" s="135"/>
      <c r="G93" s="65"/>
    </row>
    <row r="94" spans="4:7" hidden="1" x14ac:dyDescent="0.25">
      <c r="D94" s="63"/>
      <c r="E94" s="134"/>
      <c r="F94" s="135"/>
      <c r="G94" s="65"/>
    </row>
    <row r="95" spans="4:7" hidden="1" x14ac:dyDescent="0.25">
      <c r="D95" s="63"/>
      <c r="E95" s="134"/>
      <c r="F95" s="135"/>
      <c r="G95" s="65"/>
    </row>
    <row r="96" spans="4:7" hidden="1" x14ac:dyDescent="0.25">
      <c r="D96" s="63"/>
      <c r="E96" s="134"/>
      <c r="F96" s="135"/>
      <c r="G96" s="65"/>
    </row>
    <row r="97" spans="4:7" hidden="1" x14ac:dyDescent="0.25">
      <c r="D97" s="63"/>
      <c r="E97" s="134"/>
      <c r="F97" s="135"/>
      <c r="G97" s="65"/>
    </row>
    <row r="98" spans="4:7" hidden="1" x14ac:dyDescent="0.25">
      <c r="D98" s="63"/>
      <c r="E98" s="134"/>
      <c r="F98" s="135"/>
      <c r="G98" s="65"/>
    </row>
    <row r="99" spans="4:7" hidden="1" x14ac:dyDescent="0.25">
      <c r="D99" s="63"/>
      <c r="E99" s="134"/>
      <c r="F99" s="135"/>
      <c r="G99" s="65"/>
    </row>
    <row r="100" spans="4:7" hidden="1" x14ac:dyDescent="0.25">
      <c r="D100" s="63"/>
      <c r="E100" s="134"/>
      <c r="F100" s="135"/>
      <c r="G100" s="65"/>
    </row>
    <row r="101" spans="4:7" hidden="1" x14ac:dyDescent="0.25">
      <c r="D101" s="63"/>
      <c r="E101" s="134"/>
      <c r="F101" s="135"/>
      <c r="G101" s="65"/>
    </row>
    <row r="102" spans="4:7" hidden="1" x14ac:dyDescent="0.25">
      <c r="D102" s="63"/>
      <c r="E102" s="134"/>
      <c r="F102" s="135"/>
      <c r="G102" s="65"/>
    </row>
    <row r="103" spans="4:7" x14ac:dyDescent="0.25">
      <c r="D103" s="63"/>
      <c r="E103" s="64"/>
      <c r="F103" s="64"/>
      <c r="G103" s="65"/>
    </row>
    <row r="104" spans="4:7" ht="15.75" thickBot="1" x14ac:dyDescent="0.3">
      <c r="D104" s="73"/>
      <c r="E104" s="74"/>
      <c r="F104" s="74"/>
      <c r="G104" s="75"/>
    </row>
    <row r="44183" spans="7:7" ht="14.25" customHeight="1" x14ac:dyDescent="0.25"/>
    <row r="44186" spans="7:7" ht="15.75" customHeight="1" x14ac:dyDescent="0.25"/>
    <row r="44190" spans="7:7" x14ac:dyDescent="0.25">
      <c r="G44190" s="2"/>
    </row>
    <row r="44198" ht="18.75" customHeight="1" x14ac:dyDescent="0.25"/>
  </sheetData>
  <mergeCells count="1">
    <mergeCell ref="B1:B2"/>
  </mergeCells>
  <dataValidations count="1">
    <dataValidation type="textLength" operator="equal" allowBlank="1" showInputMessage="1" showErrorMessage="1" sqref="C29:NF30 C17:NF27 C4:NF15">
      <formula1>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olBreaks count="1" manualBreakCount="1">
    <brk id="370" max="1048575" man="1"/>
  </colBreaks>
  <drawing r:id="rId2"/>
  <legacyDrawing r:id="rId3"/>
  <controls>
    <mc:AlternateContent xmlns:mc="http://schemas.openxmlformats.org/markup-compatibility/2006">
      <mc:Choice Requires="x14">
        <control shapeId="3093" r:id="rId4" name="ComboBox1">
          <controlPr defaultSize="0" autoFill="0" autoLine="0" r:id="rId5">
            <anchor>
              <from>
                <xdr:col>0</xdr:col>
                <xdr:colOff>76200</xdr:colOff>
                <xdr:row>5</xdr:row>
                <xdr:rowOff>171450</xdr:rowOff>
              </from>
              <to>
                <xdr:col>0</xdr:col>
                <xdr:colOff>2562225</xdr:colOff>
                <xdr:row>7</xdr:row>
                <xdr:rowOff>123825</xdr:rowOff>
              </to>
            </anchor>
          </controlPr>
        </control>
      </mc:Choice>
      <mc:Fallback>
        <control shapeId="3093" r:id="rId4" name="ComboBox1"/>
      </mc:Fallback>
    </mc:AlternateContent>
    <mc:AlternateContent xmlns:mc="http://schemas.openxmlformats.org/markup-compatibility/2006">
      <mc:Choice Requires="x14">
        <control shapeId="3089" r:id="rId6" name="CommandButton17">
          <controlPr defaultSize="0" autoFill="0" autoLine="0" r:id="rId7">
            <anchor moveWithCells="1">
              <from>
                <xdr:col>0</xdr:col>
                <xdr:colOff>76200</xdr:colOff>
                <xdr:row>18</xdr:row>
                <xdr:rowOff>85725</xdr:rowOff>
              </from>
              <to>
                <xdr:col>0</xdr:col>
                <xdr:colOff>2505075</xdr:colOff>
                <xdr:row>20</xdr:row>
                <xdr:rowOff>38100</xdr:rowOff>
              </to>
            </anchor>
          </controlPr>
        </control>
      </mc:Choice>
      <mc:Fallback>
        <control shapeId="3089" r:id="rId6" name="CommandButton17"/>
      </mc:Fallback>
    </mc:AlternateContent>
    <mc:AlternateContent xmlns:mc="http://schemas.openxmlformats.org/markup-compatibility/2006">
      <mc:Choice Requires="x14">
        <control shapeId="3088" r:id="rId8" name="CommandButton16">
          <controlPr defaultSize="0" autoFill="0" autoLine="0" r:id="rId9">
            <anchor moveWithCells="1">
              <from>
                <xdr:col>0</xdr:col>
                <xdr:colOff>76200</xdr:colOff>
                <xdr:row>16</xdr:row>
                <xdr:rowOff>38100</xdr:rowOff>
              </from>
              <to>
                <xdr:col>0</xdr:col>
                <xdr:colOff>2505075</xdr:colOff>
                <xdr:row>17</xdr:row>
                <xdr:rowOff>190500</xdr:rowOff>
              </to>
            </anchor>
          </controlPr>
        </control>
      </mc:Choice>
      <mc:Fallback>
        <control shapeId="3088" r:id="rId8" name="CommandButton16"/>
      </mc:Fallback>
    </mc:AlternateContent>
    <mc:AlternateContent xmlns:mc="http://schemas.openxmlformats.org/markup-compatibility/2006">
      <mc:Choice Requires="x14">
        <control shapeId="3087" r:id="rId10" name="CommandButton15">
          <controlPr defaultSize="0" autoFill="0" autoLine="0" r:id="rId11">
            <anchor moveWithCells="1">
              <from>
                <xdr:col>0</xdr:col>
                <xdr:colOff>76200</xdr:colOff>
                <xdr:row>13</xdr:row>
                <xdr:rowOff>190500</xdr:rowOff>
              </from>
              <to>
                <xdr:col>0</xdr:col>
                <xdr:colOff>2505075</xdr:colOff>
                <xdr:row>15</xdr:row>
                <xdr:rowOff>133350</xdr:rowOff>
              </to>
            </anchor>
          </controlPr>
        </control>
      </mc:Choice>
      <mc:Fallback>
        <control shapeId="3087" r:id="rId10" name="CommandButton15"/>
      </mc:Fallback>
    </mc:AlternateContent>
    <mc:AlternateContent xmlns:mc="http://schemas.openxmlformats.org/markup-compatibility/2006">
      <mc:Choice Requires="x14">
        <control shapeId="3086" r:id="rId12" name="CommandButton14">
          <controlPr defaultSize="0" autoFill="0" autoLine="0" r:id="rId13">
            <anchor moveWithCells="1">
              <from>
                <xdr:col>0</xdr:col>
                <xdr:colOff>76200</xdr:colOff>
                <xdr:row>11</xdr:row>
                <xdr:rowOff>142875</xdr:rowOff>
              </from>
              <to>
                <xdr:col>0</xdr:col>
                <xdr:colOff>2505075</xdr:colOff>
                <xdr:row>13</xdr:row>
                <xdr:rowOff>85725</xdr:rowOff>
              </to>
            </anchor>
          </controlPr>
        </control>
      </mc:Choice>
      <mc:Fallback>
        <control shapeId="3086" r:id="rId12" name="CommandButton14"/>
      </mc:Fallback>
    </mc:AlternateContent>
    <mc:AlternateContent xmlns:mc="http://schemas.openxmlformats.org/markup-compatibility/2006">
      <mc:Choice Requires="x14">
        <control shapeId="3085" r:id="rId14" name="CommandButton13">
          <controlPr defaultSize="0" autoFill="0" autoLine="0" r:id="rId15">
            <anchor moveWithCells="1">
              <from>
                <xdr:col>0</xdr:col>
                <xdr:colOff>76200</xdr:colOff>
                <xdr:row>9</xdr:row>
                <xdr:rowOff>47625</xdr:rowOff>
              </from>
              <to>
                <xdr:col>0</xdr:col>
                <xdr:colOff>2505075</xdr:colOff>
                <xdr:row>11</xdr:row>
                <xdr:rowOff>0</xdr:rowOff>
              </to>
            </anchor>
          </controlPr>
        </control>
      </mc:Choice>
      <mc:Fallback>
        <control shapeId="3085" r:id="rId14" name="CommandButton13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 filterMode="1"/>
  <dimension ref="A1:NP44200"/>
  <sheetViews>
    <sheetView showGridLines="0" showRowColHeaders="0" zoomScaleNormal="100" workbookViewId="0">
      <pane xSplit="2" ySplit="2" topLeftCell="ES3" activePane="bottomRight" state="frozen"/>
      <selection pane="topRight" activeCell="C1" sqref="C1"/>
      <selection pane="bottomLeft" activeCell="A3" sqref="A3"/>
      <selection pane="bottomRight" activeCell="EX15" sqref="EX15"/>
    </sheetView>
  </sheetViews>
  <sheetFormatPr defaultRowHeight="15" x14ac:dyDescent="0.25"/>
  <cols>
    <col min="1" max="1" width="39.5703125" style="1" customWidth="1"/>
    <col min="2" max="2" width="29.140625" style="1" customWidth="1"/>
    <col min="3" max="214" width="15.7109375" style="1" customWidth="1"/>
    <col min="215" max="215" width="16.140625" style="1" customWidth="1"/>
    <col min="216" max="368" width="15.7109375" style="1" customWidth="1"/>
    <col min="369" max="369" width="15.7109375" style="3" customWidth="1"/>
    <col min="370" max="370" width="15.7109375" style="1" customWidth="1"/>
    <col min="371" max="372" width="9.140625" style="1" customWidth="1"/>
    <col min="373" max="506" width="0" style="1" hidden="1" customWidth="1"/>
    <col min="507" max="508" width="9.140625" style="1"/>
    <col min="509" max="1104" width="0" style="1" hidden="1" customWidth="1"/>
    <col min="1105" max="16384" width="9.140625" style="1"/>
  </cols>
  <sheetData>
    <row r="1" spans="1:380" s="4" customFormat="1" x14ac:dyDescent="0.25">
      <c r="B1" s="162" t="s">
        <v>8</v>
      </c>
      <c r="C1" s="17" t="s">
        <v>5</v>
      </c>
      <c r="D1" s="17" t="s">
        <v>6</v>
      </c>
      <c r="E1" s="17" t="s">
        <v>0</v>
      </c>
      <c r="F1" s="17" t="s">
        <v>1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0</v>
      </c>
      <c r="M1" s="17" t="s">
        <v>1</v>
      </c>
      <c r="N1" s="17" t="s">
        <v>2</v>
      </c>
      <c r="O1" s="17" t="s">
        <v>3</v>
      </c>
      <c r="P1" s="17" t="s">
        <v>4</v>
      </c>
      <c r="Q1" s="17" t="s">
        <v>5</v>
      </c>
      <c r="R1" s="17" t="s">
        <v>6</v>
      </c>
      <c r="S1" s="17" t="s">
        <v>0</v>
      </c>
      <c r="T1" s="17" t="s">
        <v>1</v>
      </c>
      <c r="U1" s="17" t="s">
        <v>2</v>
      </c>
      <c r="V1" s="17" t="s">
        <v>3</v>
      </c>
      <c r="W1" s="17" t="s">
        <v>4</v>
      </c>
      <c r="X1" s="17" t="s">
        <v>5</v>
      </c>
      <c r="Y1" s="17" t="s">
        <v>6</v>
      </c>
      <c r="Z1" s="17" t="s">
        <v>0</v>
      </c>
      <c r="AA1" s="17" t="s">
        <v>1</v>
      </c>
      <c r="AB1" s="17" t="s">
        <v>2</v>
      </c>
      <c r="AC1" s="17" t="s">
        <v>3</v>
      </c>
      <c r="AD1" s="17" t="s">
        <v>4</v>
      </c>
      <c r="AE1" s="17" t="s">
        <v>5</v>
      </c>
      <c r="AF1" s="17" t="s">
        <v>6</v>
      </c>
      <c r="AG1" s="17" t="s">
        <v>0</v>
      </c>
      <c r="AH1" s="17" t="s">
        <v>1</v>
      </c>
      <c r="AI1" s="17" t="s">
        <v>2</v>
      </c>
      <c r="AJ1" s="17" t="s">
        <v>3</v>
      </c>
      <c r="AK1" s="17" t="s">
        <v>4</v>
      </c>
      <c r="AL1" s="17" t="s">
        <v>5</v>
      </c>
      <c r="AM1" s="17" t="s">
        <v>6</v>
      </c>
      <c r="AN1" s="17" t="s">
        <v>0</v>
      </c>
      <c r="AO1" s="17" t="s">
        <v>1</v>
      </c>
      <c r="AP1" s="17" t="s">
        <v>2</v>
      </c>
      <c r="AQ1" s="17" t="s">
        <v>3</v>
      </c>
      <c r="AR1" s="17" t="s">
        <v>4</v>
      </c>
      <c r="AS1" s="17" t="s">
        <v>5</v>
      </c>
      <c r="AT1" s="17" t="s">
        <v>6</v>
      </c>
      <c r="AU1" s="17" t="s">
        <v>0</v>
      </c>
      <c r="AV1" s="17" t="s">
        <v>1</v>
      </c>
      <c r="AW1" s="17" t="s">
        <v>2</v>
      </c>
      <c r="AX1" s="17" t="s">
        <v>3</v>
      </c>
      <c r="AY1" s="17" t="s">
        <v>4</v>
      </c>
      <c r="AZ1" s="17" t="s">
        <v>5</v>
      </c>
      <c r="BA1" s="17" t="s">
        <v>6</v>
      </c>
      <c r="BB1" s="17" t="s">
        <v>0</v>
      </c>
      <c r="BC1" s="17" t="s">
        <v>1</v>
      </c>
      <c r="BD1" s="17" t="s">
        <v>2</v>
      </c>
      <c r="BE1" s="17" t="s">
        <v>3</v>
      </c>
      <c r="BF1" s="17" t="s">
        <v>4</v>
      </c>
      <c r="BG1" s="17" t="s">
        <v>5</v>
      </c>
      <c r="BH1" s="17" t="s">
        <v>6</v>
      </c>
      <c r="BI1" s="17" t="s">
        <v>0</v>
      </c>
      <c r="BJ1" s="17" t="s">
        <v>1</v>
      </c>
      <c r="BK1" s="17" t="s">
        <v>2</v>
      </c>
      <c r="BL1" s="17" t="s">
        <v>3</v>
      </c>
      <c r="BM1" s="17" t="s">
        <v>4</v>
      </c>
      <c r="BN1" s="17" t="s">
        <v>5</v>
      </c>
      <c r="BO1" s="17" t="s">
        <v>6</v>
      </c>
      <c r="BP1" s="17" t="s">
        <v>0</v>
      </c>
      <c r="BQ1" s="17" t="s">
        <v>1</v>
      </c>
      <c r="BR1" s="17" t="s">
        <v>2</v>
      </c>
      <c r="BS1" s="17" t="s">
        <v>3</v>
      </c>
      <c r="BT1" s="17" t="s">
        <v>4</v>
      </c>
      <c r="BU1" s="17" t="s">
        <v>5</v>
      </c>
      <c r="BV1" s="17" t="s">
        <v>6</v>
      </c>
      <c r="BW1" s="17" t="s">
        <v>0</v>
      </c>
      <c r="BX1" s="17" t="s">
        <v>1</v>
      </c>
      <c r="BY1" s="17" t="s">
        <v>2</v>
      </c>
      <c r="BZ1" s="17" t="s">
        <v>3</v>
      </c>
      <c r="CA1" s="17" t="s">
        <v>4</v>
      </c>
      <c r="CB1" s="17" t="s">
        <v>5</v>
      </c>
      <c r="CC1" s="17" t="s">
        <v>6</v>
      </c>
      <c r="CD1" s="17" t="s">
        <v>0</v>
      </c>
      <c r="CE1" s="17" t="s">
        <v>1</v>
      </c>
      <c r="CF1" s="17" t="s">
        <v>2</v>
      </c>
      <c r="CG1" s="17" t="s">
        <v>3</v>
      </c>
      <c r="CH1" s="17" t="s">
        <v>4</v>
      </c>
      <c r="CI1" s="17" t="s">
        <v>5</v>
      </c>
      <c r="CJ1" s="17" t="s">
        <v>6</v>
      </c>
      <c r="CK1" s="17" t="s">
        <v>0</v>
      </c>
      <c r="CL1" s="17" t="s">
        <v>1</v>
      </c>
      <c r="CM1" s="17" t="s">
        <v>2</v>
      </c>
      <c r="CN1" s="17" t="s">
        <v>3</v>
      </c>
      <c r="CO1" s="17" t="s">
        <v>4</v>
      </c>
      <c r="CP1" s="17" t="s">
        <v>5</v>
      </c>
      <c r="CQ1" s="17" t="s">
        <v>6</v>
      </c>
      <c r="CR1" s="17" t="s">
        <v>0</v>
      </c>
      <c r="CS1" s="17" t="s">
        <v>1</v>
      </c>
      <c r="CT1" s="17" t="s">
        <v>2</v>
      </c>
      <c r="CU1" s="17" t="s">
        <v>3</v>
      </c>
      <c r="CV1" s="17" t="s">
        <v>4</v>
      </c>
      <c r="CW1" s="17" t="s">
        <v>5</v>
      </c>
      <c r="CX1" s="17" t="s">
        <v>6</v>
      </c>
      <c r="CY1" s="17" t="s">
        <v>0</v>
      </c>
      <c r="CZ1" s="17" t="s">
        <v>1</v>
      </c>
      <c r="DA1" s="17" t="s">
        <v>2</v>
      </c>
      <c r="DB1" s="17" t="s">
        <v>3</v>
      </c>
      <c r="DC1" s="17" t="s">
        <v>4</v>
      </c>
      <c r="DD1" s="17" t="s">
        <v>5</v>
      </c>
      <c r="DE1" s="17" t="s">
        <v>6</v>
      </c>
      <c r="DF1" s="17" t="s">
        <v>0</v>
      </c>
      <c r="DG1" s="17" t="s">
        <v>1</v>
      </c>
      <c r="DH1" s="17" t="s">
        <v>2</v>
      </c>
      <c r="DI1" s="17" t="s">
        <v>3</v>
      </c>
      <c r="DJ1" s="17" t="s">
        <v>4</v>
      </c>
      <c r="DK1" s="17" t="s">
        <v>5</v>
      </c>
      <c r="DL1" s="17" t="s">
        <v>6</v>
      </c>
      <c r="DM1" s="17" t="s">
        <v>0</v>
      </c>
      <c r="DN1" s="17" t="s">
        <v>1</v>
      </c>
      <c r="DO1" s="17" t="s">
        <v>2</v>
      </c>
      <c r="DP1" s="17" t="s">
        <v>3</v>
      </c>
      <c r="DQ1" s="17" t="s">
        <v>4</v>
      </c>
      <c r="DR1" s="17" t="s">
        <v>5</v>
      </c>
      <c r="DS1" s="17" t="s">
        <v>6</v>
      </c>
      <c r="DT1" s="17" t="s">
        <v>0</v>
      </c>
      <c r="DU1" s="17" t="s">
        <v>1</v>
      </c>
      <c r="DV1" s="17" t="s">
        <v>2</v>
      </c>
      <c r="DW1" s="17" t="s">
        <v>3</v>
      </c>
      <c r="DX1" s="17" t="s">
        <v>4</v>
      </c>
      <c r="DY1" s="17" t="s">
        <v>5</v>
      </c>
      <c r="DZ1" s="17" t="s">
        <v>6</v>
      </c>
      <c r="EA1" s="17" t="s">
        <v>0</v>
      </c>
      <c r="EB1" s="17" t="s">
        <v>1</v>
      </c>
      <c r="EC1" s="17" t="s">
        <v>2</v>
      </c>
      <c r="ED1" s="17" t="s">
        <v>3</v>
      </c>
      <c r="EE1" s="17" t="s">
        <v>4</v>
      </c>
      <c r="EF1" s="17" t="s">
        <v>5</v>
      </c>
      <c r="EG1" s="17" t="s">
        <v>6</v>
      </c>
      <c r="EH1" s="17" t="s">
        <v>0</v>
      </c>
      <c r="EI1" s="17" t="s">
        <v>1</v>
      </c>
      <c r="EJ1" s="17" t="s">
        <v>2</v>
      </c>
      <c r="EK1" s="17" t="s">
        <v>3</v>
      </c>
      <c r="EL1" s="17" t="s">
        <v>4</v>
      </c>
      <c r="EM1" s="17" t="s">
        <v>5</v>
      </c>
      <c r="EN1" s="17" t="s">
        <v>6</v>
      </c>
      <c r="EO1" s="17" t="s">
        <v>0</v>
      </c>
      <c r="EP1" s="17" t="s">
        <v>1</v>
      </c>
      <c r="EQ1" s="17" t="s">
        <v>2</v>
      </c>
      <c r="ER1" s="17" t="s">
        <v>3</v>
      </c>
      <c r="ES1" s="17" t="s">
        <v>4</v>
      </c>
      <c r="ET1" s="17" t="s">
        <v>5</v>
      </c>
      <c r="EU1" s="17" t="s">
        <v>6</v>
      </c>
      <c r="EV1" s="17" t="s">
        <v>0</v>
      </c>
      <c r="EW1" s="17" t="s">
        <v>1</v>
      </c>
      <c r="EX1" s="17" t="s">
        <v>2</v>
      </c>
      <c r="EY1" s="17" t="s">
        <v>3</v>
      </c>
      <c r="EZ1" s="17" t="s">
        <v>4</v>
      </c>
      <c r="FA1" s="17" t="s">
        <v>5</v>
      </c>
      <c r="FB1" s="17" t="s">
        <v>6</v>
      </c>
      <c r="FC1" s="17" t="s">
        <v>0</v>
      </c>
      <c r="FD1" s="17" t="s">
        <v>1</v>
      </c>
      <c r="FE1" s="17" t="s">
        <v>2</v>
      </c>
      <c r="FF1" s="17" t="s">
        <v>3</v>
      </c>
      <c r="FG1" s="17" t="s">
        <v>4</v>
      </c>
      <c r="FH1" s="17" t="s">
        <v>5</v>
      </c>
      <c r="FI1" s="17" t="s">
        <v>6</v>
      </c>
      <c r="FJ1" s="17" t="s">
        <v>0</v>
      </c>
      <c r="FK1" s="17" t="s">
        <v>1</v>
      </c>
      <c r="FL1" s="17" t="s">
        <v>2</v>
      </c>
      <c r="FM1" s="17" t="s">
        <v>3</v>
      </c>
      <c r="FN1" s="17" t="s">
        <v>4</v>
      </c>
      <c r="FO1" s="17" t="s">
        <v>5</v>
      </c>
      <c r="FP1" s="17" t="s">
        <v>6</v>
      </c>
      <c r="FQ1" s="17" t="s">
        <v>0</v>
      </c>
      <c r="FR1" s="17" t="s">
        <v>1</v>
      </c>
      <c r="FS1" s="17" t="s">
        <v>2</v>
      </c>
      <c r="FT1" s="17" t="s">
        <v>3</v>
      </c>
      <c r="FU1" s="17" t="s">
        <v>4</v>
      </c>
      <c r="FV1" s="17" t="s">
        <v>5</v>
      </c>
      <c r="FW1" s="17" t="s">
        <v>6</v>
      </c>
      <c r="FX1" s="17" t="s">
        <v>0</v>
      </c>
      <c r="FY1" s="17" t="s">
        <v>1</v>
      </c>
      <c r="FZ1" s="17" t="s">
        <v>2</v>
      </c>
      <c r="GA1" s="17" t="s">
        <v>3</v>
      </c>
      <c r="GB1" s="17" t="s">
        <v>4</v>
      </c>
      <c r="GC1" s="17" t="s">
        <v>5</v>
      </c>
      <c r="GD1" s="17" t="s">
        <v>6</v>
      </c>
      <c r="GE1" s="17" t="s">
        <v>0</v>
      </c>
      <c r="GF1" s="17" t="s">
        <v>1</v>
      </c>
      <c r="GG1" s="17" t="s">
        <v>2</v>
      </c>
      <c r="GH1" s="17" t="s">
        <v>3</v>
      </c>
      <c r="GI1" s="17" t="s">
        <v>4</v>
      </c>
      <c r="GJ1" s="17" t="s">
        <v>5</v>
      </c>
      <c r="GK1" s="17" t="s">
        <v>6</v>
      </c>
      <c r="GL1" s="17" t="s">
        <v>0</v>
      </c>
      <c r="GM1" s="17" t="s">
        <v>1</v>
      </c>
      <c r="GN1" s="17" t="s">
        <v>2</v>
      </c>
      <c r="GO1" s="17" t="s">
        <v>3</v>
      </c>
      <c r="GP1" s="17" t="s">
        <v>4</v>
      </c>
      <c r="GQ1" s="17" t="s">
        <v>5</v>
      </c>
      <c r="GR1" s="17" t="s">
        <v>6</v>
      </c>
      <c r="GS1" s="17" t="s">
        <v>0</v>
      </c>
      <c r="GT1" s="17" t="s">
        <v>1</v>
      </c>
      <c r="GU1" s="17" t="s">
        <v>2</v>
      </c>
      <c r="GV1" s="17" t="s">
        <v>3</v>
      </c>
      <c r="GW1" s="17" t="s">
        <v>4</v>
      </c>
      <c r="GX1" s="17" t="s">
        <v>5</v>
      </c>
      <c r="GY1" s="17" t="s">
        <v>6</v>
      </c>
      <c r="GZ1" s="17" t="s">
        <v>0</v>
      </c>
      <c r="HA1" s="17" t="s">
        <v>1</v>
      </c>
      <c r="HB1" s="17" t="s">
        <v>2</v>
      </c>
      <c r="HC1" s="17" t="s">
        <v>3</v>
      </c>
      <c r="HD1" s="17" t="s">
        <v>4</v>
      </c>
      <c r="HE1" s="17" t="s">
        <v>5</v>
      </c>
      <c r="HF1" s="17" t="s">
        <v>6</v>
      </c>
      <c r="HG1" s="17" t="s">
        <v>0</v>
      </c>
      <c r="HH1" s="17" t="s">
        <v>1</v>
      </c>
      <c r="HI1" s="17" t="s">
        <v>2</v>
      </c>
      <c r="HJ1" s="17" t="s">
        <v>3</v>
      </c>
      <c r="HK1" s="17" t="s">
        <v>4</v>
      </c>
      <c r="HL1" s="17" t="s">
        <v>5</v>
      </c>
      <c r="HM1" s="17" t="s">
        <v>6</v>
      </c>
      <c r="HN1" s="17" t="s">
        <v>0</v>
      </c>
      <c r="HO1" s="17" t="s">
        <v>1</v>
      </c>
      <c r="HP1" s="17" t="s">
        <v>2</v>
      </c>
      <c r="HQ1" s="17" t="s">
        <v>3</v>
      </c>
      <c r="HR1" s="17" t="s">
        <v>4</v>
      </c>
      <c r="HS1" s="17" t="s">
        <v>5</v>
      </c>
      <c r="HT1" s="17" t="s">
        <v>6</v>
      </c>
      <c r="HU1" s="17" t="s">
        <v>0</v>
      </c>
      <c r="HV1" s="17" t="s">
        <v>1</v>
      </c>
      <c r="HW1" s="17" t="s">
        <v>2</v>
      </c>
      <c r="HX1" s="17" t="s">
        <v>3</v>
      </c>
      <c r="HY1" s="17" t="s">
        <v>4</v>
      </c>
      <c r="HZ1" s="17" t="s">
        <v>5</v>
      </c>
      <c r="IA1" s="17" t="s">
        <v>6</v>
      </c>
      <c r="IB1" s="17" t="s">
        <v>0</v>
      </c>
      <c r="IC1" s="17" t="s">
        <v>1</v>
      </c>
      <c r="ID1" s="17" t="s">
        <v>2</v>
      </c>
      <c r="IE1" s="17" t="s">
        <v>3</v>
      </c>
      <c r="IF1" s="17" t="s">
        <v>4</v>
      </c>
      <c r="IG1" s="17" t="s">
        <v>5</v>
      </c>
      <c r="IH1" s="17" t="s">
        <v>6</v>
      </c>
      <c r="II1" s="17" t="s">
        <v>0</v>
      </c>
      <c r="IJ1" s="17" t="s">
        <v>1</v>
      </c>
      <c r="IK1" s="17" t="s">
        <v>2</v>
      </c>
      <c r="IL1" s="17" t="s">
        <v>3</v>
      </c>
      <c r="IM1" s="17" t="s">
        <v>4</v>
      </c>
      <c r="IN1" s="17" t="s">
        <v>5</v>
      </c>
      <c r="IO1" s="17" t="s">
        <v>6</v>
      </c>
      <c r="IP1" s="17" t="s">
        <v>0</v>
      </c>
      <c r="IQ1" s="17" t="s">
        <v>1</v>
      </c>
      <c r="IR1" s="17" t="s">
        <v>2</v>
      </c>
      <c r="IS1" s="17" t="s">
        <v>3</v>
      </c>
      <c r="IT1" s="17" t="s">
        <v>4</v>
      </c>
      <c r="IU1" s="17" t="s">
        <v>5</v>
      </c>
      <c r="IV1" s="17" t="s">
        <v>6</v>
      </c>
      <c r="IW1" s="17" t="s">
        <v>0</v>
      </c>
      <c r="IX1" s="17" t="s">
        <v>1</v>
      </c>
      <c r="IY1" s="17" t="s">
        <v>2</v>
      </c>
      <c r="IZ1" s="17" t="s">
        <v>3</v>
      </c>
      <c r="JA1" s="17" t="s">
        <v>4</v>
      </c>
      <c r="JB1" s="17" t="s">
        <v>5</v>
      </c>
      <c r="JC1" s="17" t="s">
        <v>6</v>
      </c>
      <c r="JD1" s="17" t="s">
        <v>0</v>
      </c>
      <c r="JE1" s="17" t="s">
        <v>1</v>
      </c>
      <c r="JF1" s="17" t="s">
        <v>2</v>
      </c>
      <c r="JG1" s="17" t="s">
        <v>3</v>
      </c>
      <c r="JH1" s="17" t="s">
        <v>4</v>
      </c>
      <c r="JI1" s="17" t="s">
        <v>5</v>
      </c>
      <c r="JJ1" s="17" t="s">
        <v>6</v>
      </c>
      <c r="JK1" s="17" t="s">
        <v>0</v>
      </c>
      <c r="JL1" s="17" t="s">
        <v>1</v>
      </c>
      <c r="JM1" s="17" t="s">
        <v>2</v>
      </c>
      <c r="JN1" s="17" t="s">
        <v>3</v>
      </c>
      <c r="JO1" s="17" t="s">
        <v>4</v>
      </c>
      <c r="JP1" s="17" t="s">
        <v>5</v>
      </c>
      <c r="JQ1" s="17" t="s">
        <v>6</v>
      </c>
      <c r="JR1" s="17" t="s">
        <v>0</v>
      </c>
      <c r="JS1" s="17" t="s">
        <v>1</v>
      </c>
      <c r="JT1" s="17" t="s">
        <v>2</v>
      </c>
      <c r="JU1" s="17" t="s">
        <v>3</v>
      </c>
      <c r="JV1" s="17" t="s">
        <v>4</v>
      </c>
      <c r="JW1" s="17" t="s">
        <v>5</v>
      </c>
      <c r="JX1" s="17" t="s">
        <v>6</v>
      </c>
      <c r="JY1" s="17" t="s">
        <v>0</v>
      </c>
      <c r="JZ1" s="17" t="s">
        <v>1</v>
      </c>
      <c r="KA1" s="17" t="s">
        <v>2</v>
      </c>
      <c r="KB1" s="17" t="s">
        <v>3</v>
      </c>
      <c r="KC1" s="17" t="s">
        <v>4</v>
      </c>
      <c r="KD1" s="17" t="s">
        <v>5</v>
      </c>
      <c r="KE1" s="17" t="s">
        <v>6</v>
      </c>
      <c r="KF1" s="17" t="s">
        <v>0</v>
      </c>
      <c r="KG1" s="17" t="s">
        <v>1</v>
      </c>
      <c r="KH1" s="17" t="s">
        <v>2</v>
      </c>
      <c r="KI1" s="17" t="s">
        <v>3</v>
      </c>
      <c r="KJ1" s="17" t="s">
        <v>4</v>
      </c>
      <c r="KK1" s="17" t="s">
        <v>5</v>
      </c>
      <c r="KL1" s="17" t="s">
        <v>6</v>
      </c>
      <c r="KM1" s="17" t="s">
        <v>0</v>
      </c>
      <c r="KN1" s="17" t="s">
        <v>1</v>
      </c>
      <c r="KO1" s="17" t="s">
        <v>2</v>
      </c>
      <c r="KP1" s="17" t="s">
        <v>3</v>
      </c>
      <c r="KQ1" s="17" t="s">
        <v>4</v>
      </c>
      <c r="KR1" s="17" t="s">
        <v>5</v>
      </c>
      <c r="KS1" s="17" t="s">
        <v>6</v>
      </c>
      <c r="KT1" s="17" t="s">
        <v>0</v>
      </c>
      <c r="KU1" s="17" t="s">
        <v>1</v>
      </c>
      <c r="KV1" s="17" t="s">
        <v>2</v>
      </c>
      <c r="KW1" s="17" t="s">
        <v>3</v>
      </c>
      <c r="KX1" s="17" t="s">
        <v>4</v>
      </c>
      <c r="KY1" s="17" t="s">
        <v>5</v>
      </c>
      <c r="KZ1" s="17" t="s">
        <v>6</v>
      </c>
      <c r="LA1" s="17" t="s">
        <v>0</v>
      </c>
      <c r="LB1" s="17" t="s">
        <v>1</v>
      </c>
      <c r="LC1" s="17" t="s">
        <v>2</v>
      </c>
      <c r="LD1" s="17" t="s">
        <v>3</v>
      </c>
      <c r="LE1" s="17" t="s">
        <v>4</v>
      </c>
      <c r="LF1" s="17" t="s">
        <v>5</v>
      </c>
      <c r="LG1" s="17" t="s">
        <v>6</v>
      </c>
      <c r="LH1" s="17" t="s">
        <v>0</v>
      </c>
      <c r="LI1" s="17" t="s">
        <v>1</v>
      </c>
      <c r="LJ1" s="17" t="s">
        <v>2</v>
      </c>
      <c r="LK1" s="17" t="s">
        <v>3</v>
      </c>
      <c r="LL1" s="17" t="s">
        <v>4</v>
      </c>
      <c r="LM1" s="17" t="s">
        <v>5</v>
      </c>
      <c r="LN1" s="17" t="s">
        <v>6</v>
      </c>
      <c r="LO1" s="17" t="s">
        <v>0</v>
      </c>
      <c r="LP1" s="17" t="s">
        <v>1</v>
      </c>
      <c r="LQ1" s="17" t="s">
        <v>2</v>
      </c>
      <c r="LR1" s="17" t="s">
        <v>3</v>
      </c>
      <c r="LS1" s="17" t="s">
        <v>4</v>
      </c>
      <c r="LT1" s="17" t="s">
        <v>5</v>
      </c>
      <c r="LU1" s="17" t="s">
        <v>6</v>
      </c>
      <c r="LV1" s="17" t="s">
        <v>0</v>
      </c>
      <c r="LW1" s="17" t="s">
        <v>1</v>
      </c>
      <c r="LX1" s="17" t="s">
        <v>2</v>
      </c>
      <c r="LY1" s="17" t="s">
        <v>3</v>
      </c>
      <c r="LZ1" s="17" t="s">
        <v>4</v>
      </c>
      <c r="MA1" s="17" t="s">
        <v>5</v>
      </c>
      <c r="MB1" s="17" t="s">
        <v>6</v>
      </c>
      <c r="MC1" s="17" t="s">
        <v>0</v>
      </c>
      <c r="MD1" s="17" t="s">
        <v>1</v>
      </c>
      <c r="ME1" s="17" t="s">
        <v>2</v>
      </c>
      <c r="MF1" s="17" t="s">
        <v>3</v>
      </c>
      <c r="MG1" s="17" t="s">
        <v>4</v>
      </c>
      <c r="MH1" s="17" t="s">
        <v>5</v>
      </c>
      <c r="MI1" s="17" t="s">
        <v>6</v>
      </c>
      <c r="MJ1" s="17" t="s">
        <v>0</v>
      </c>
      <c r="MK1" s="17" t="s">
        <v>1</v>
      </c>
      <c r="ML1" s="17" t="s">
        <v>2</v>
      </c>
      <c r="MM1" s="17" t="s">
        <v>3</v>
      </c>
      <c r="MN1" s="17" t="s">
        <v>4</v>
      </c>
      <c r="MO1" s="17" t="s">
        <v>5</v>
      </c>
      <c r="MP1" s="17" t="s">
        <v>6</v>
      </c>
      <c r="MQ1" s="17" t="s">
        <v>0</v>
      </c>
      <c r="MR1" s="17" t="s">
        <v>1</v>
      </c>
      <c r="MS1" s="17" t="s">
        <v>2</v>
      </c>
      <c r="MT1" s="17" t="s">
        <v>3</v>
      </c>
      <c r="MU1" s="17" t="s">
        <v>4</v>
      </c>
      <c r="MV1" s="17" t="s">
        <v>5</v>
      </c>
      <c r="MW1" s="17" t="s">
        <v>6</v>
      </c>
      <c r="MX1" s="17" t="s">
        <v>0</v>
      </c>
      <c r="MY1" s="17" t="s">
        <v>1</v>
      </c>
      <c r="MZ1" s="17" t="s">
        <v>2</v>
      </c>
      <c r="NA1" s="17" t="s">
        <v>3</v>
      </c>
      <c r="NB1" s="17" t="s">
        <v>4</v>
      </c>
      <c r="NC1" s="17" t="s">
        <v>5</v>
      </c>
      <c r="ND1" s="17" t="s">
        <v>6</v>
      </c>
      <c r="NE1" s="17" t="s">
        <v>0</v>
      </c>
      <c r="NF1" s="17" t="s">
        <v>1</v>
      </c>
    </row>
    <row r="2" spans="1:380" s="5" customFormat="1" ht="24.75" customHeight="1" thickBot="1" x14ac:dyDescent="0.3">
      <c r="B2" s="163"/>
      <c r="C2" s="18">
        <v>44562</v>
      </c>
      <c r="D2" s="18">
        <v>44563</v>
      </c>
      <c r="E2" s="18">
        <v>44564</v>
      </c>
      <c r="F2" s="18">
        <v>44565</v>
      </c>
      <c r="G2" s="18">
        <v>44566</v>
      </c>
      <c r="H2" s="18">
        <v>44567</v>
      </c>
      <c r="I2" s="18">
        <v>44568</v>
      </c>
      <c r="J2" s="18">
        <v>44569</v>
      </c>
      <c r="K2" s="18">
        <v>44570</v>
      </c>
      <c r="L2" s="18">
        <v>44571</v>
      </c>
      <c r="M2" s="18">
        <v>44572</v>
      </c>
      <c r="N2" s="18">
        <v>44573</v>
      </c>
      <c r="O2" s="18">
        <v>44574</v>
      </c>
      <c r="P2" s="18">
        <v>44575</v>
      </c>
      <c r="Q2" s="18">
        <v>44576</v>
      </c>
      <c r="R2" s="18">
        <v>44577</v>
      </c>
      <c r="S2" s="18">
        <v>44578</v>
      </c>
      <c r="T2" s="18">
        <v>44579</v>
      </c>
      <c r="U2" s="18">
        <v>44580</v>
      </c>
      <c r="V2" s="18">
        <v>44581</v>
      </c>
      <c r="W2" s="18">
        <v>44582</v>
      </c>
      <c r="X2" s="18">
        <v>44583</v>
      </c>
      <c r="Y2" s="18">
        <v>44584</v>
      </c>
      <c r="Z2" s="18">
        <v>44585</v>
      </c>
      <c r="AA2" s="18">
        <v>44586</v>
      </c>
      <c r="AB2" s="18">
        <v>44587</v>
      </c>
      <c r="AC2" s="18">
        <v>44588</v>
      </c>
      <c r="AD2" s="18">
        <v>44589</v>
      </c>
      <c r="AE2" s="18">
        <v>44590</v>
      </c>
      <c r="AF2" s="18">
        <v>44591</v>
      </c>
      <c r="AG2" s="18">
        <v>44592</v>
      </c>
      <c r="AH2" s="18">
        <v>44593</v>
      </c>
      <c r="AI2" s="18">
        <v>44594</v>
      </c>
      <c r="AJ2" s="18">
        <v>44595</v>
      </c>
      <c r="AK2" s="18">
        <v>44596</v>
      </c>
      <c r="AL2" s="18">
        <v>44597</v>
      </c>
      <c r="AM2" s="18">
        <v>44598</v>
      </c>
      <c r="AN2" s="18">
        <v>44599</v>
      </c>
      <c r="AO2" s="18">
        <v>44600</v>
      </c>
      <c r="AP2" s="18">
        <v>44601</v>
      </c>
      <c r="AQ2" s="18">
        <v>44602</v>
      </c>
      <c r="AR2" s="18">
        <v>44603</v>
      </c>
      <c r="AS2" s="18">
        <v>44604</v>
      </c>
      <c r="AT2" s="18">
        <v>44605</v>
      </c>
      <c r="AU2" s="18">
        <v>44606</v>
      </c>
      <c r="AV2" s="18">
        <v>44607</v>
      </c>
      <c r="AW2" s="18">
        <v>44608</v>
      </c>
      <c r="AX2" s="18">
        <v>44609</v>
      </c>
      <c r="AY2" s="18">
        <v>44610</v>
      </c>
      <c r="AZ2" s="18">
        <v>44611</v>
      </c>
      <c r="BA2" s="18">
        <v>44612</v>
      </c>
      <c r="BB2" s="18">
        <v>44613</v>
      </c>
      <c r="BC2" s="18">
        <v>44614</v>
      </c>
      <c r="BD2" s="18">
        <v>44615</v>
      </c>
      <c r="BE2" s="18">
        <v>44616</v>
      </c>
      <c r="BF2" s="18">
        <v>44617</v>
      </c>
      <c r="BG2" s="18">
        <v>44618</v>
      </c>
      <c r="BH2" s="18">
        <v>44619</v>
      </c>
      <c r="BI2" s="18">
        <v>44620</v>
      </c>
      <c r="BJ2" s="18">
        <v>44621</v>
      </c>
      <c r="BK2" s="18">
        <v>44622</v>
      </c>
      <c r="BL2" s="18">
        <v>44623</v>
      </c>
      <c r="BM2" s="18">
        <v>44624</v>
      </c>
      <c r="BN2" s="18">
        <v>44625</v>
      </c>
      <c r="BO2" s="18">
        <v>44626</v>
      </c>
      <c r="BP2" s="18">
        <v>44627</v>
      </c>
      <c r="BQ2" s="18">
        <v>44628</v>
      </c>
      <c r="BR2" s="18">
        <v>44629</v>
      </c>
      <c r="BS2" s="18">
        <v>44630</v>
      </c>
      <c r="BT2" s="18">
        <v>44631</v>
      </c>
      <c r="BU2" s="18">
        <v>44632</v>
      </c>
      <c r="BV2" s="18">
        <v>44633</v>
      </c>
      <c r="BW2" s="18">
        <v>44634</v>
      </c>
      <c r="BX2" s="18">
        <v>44635</v>
      </c>
      <c r="BY2" s="18">
        <v>44636</v>
      </c>
      <c r="BZ2" s="18">
        <v>44637</v>
      </c>
      <c r="CA2" s="18">
        <v>44638</v>
      </c>
      <c r="CB2" s="18">
        <v>44639</v>
      </c>
      <c r="CC2" s="18">
        <v>44640</v>
      </c>
      <c r="CD2" s="18">
        <v>44641</v>
      </c>
      <c r="CE2" s="18">
        <v>44642</v>
      </c>
      <c r="CF2" s="18">
        <v>44643</v>
      </c>
      <c r="CG2" s="18">
        <v>44644</v>
      </c>
      <c r="CH2" s="18">
        <v>44645</v>
      </c>
      <c r="CI2" s="18">
        <v>44646</v>
      </c>
      <c r="CJ2" s="18">
        <v>44647</v>
      </c>
      <c r="CK2" s="18">
        <v>44648</v>
      </c>
      <c r="CL2" s="18">
        <v>44649</v>
      </c>
      <c r="CM2" s="18">
        <v>44650</v>
      </c>
      <c r="CN2" s="18">
        <v>44651</v>
      </c>
      <c r="CO2" s="18">
        <v>44652</v>
      </c>
      <c r="CP2" s="18">
        <v>44653</v>
      </c>
      <c r="CQ2" s="18">
        <v>44654</v>
      </c>
      <c r="CR2" s="18">
        <v>44655</v>
      </c>
      <c r="CS2" s="18">
        <v>44656</v>
      </c>
      <c r="CT2" s="18">
        <v>44657</v>
      </c>
      <c r="CU2" s="18">
        <v>44658</v>
      </c>
      <c r="CV2" s="18">
        <v>44659</v>
      </c>
      <c r="CW2" s="18">
        <v>44660</v>
      </c>
      <c r="CX2" s="18">
        <v>44661</v>
      </c>
      <c r="CY2" s="18">
        <v>44662</v>
      </c>
      <c r="CZ2" s="18">
        <v>44663</v>
      </c>
      <c r="DA2" s="18">
        <v>44664</v>
      </c>
      <c r="DB2" s="18">
        <v>44665</v>
      </c>
      <c r="DC2" s="18">
        <v>44666</v>
      </c>
      <c r="DD2" s="18">
        <v>44667</v>
      </c>
      <c r="DE2" s="18">
        <v>44668</v>
      </c>
      <c r="DF2" s="18">
        <v>44669</v>
      </c>
      <c r="DG2" s="18">
        <v>44670</v>
      </c>
      <c r="DH2" s="18">
        <v>44671</v>
      </c>
      <c r="DI2" s="18">
        <v>44672</v>
      </c>
      <c r="DJ2" s="18">
        <v>44673</v>
      </c>
      <c r="DK2" s="18">
        <v>44674</v>
      </c>
      <c r="DL2" s="18">
        <v>44675</v>
      </c>
      <c r="DM2" s="18">
        <v>44676</v>
      </c>
      <c r="DN2" s="18">
        <v>44677</v>
      </c>
      <c r="DO2" s="18">
        <v>44678</v>
      </c>
      <c r="DP2" s="18">
        <v>44679</v>
      </c>
      <c r="DQ2" s="18">
        <v>44680</v>
      </c>
      <c r="DR2" s="18">
        <v>44681</v>
      </c>
      <c r="DS2" s="18">
        <v>44682</v>
      </c>
      <c r="DT2" s="18">
        <v>44683</v>
      </c>
      <c r="DU2" s="18">
        <v>44684</v>
      </c>
      <c r="DV2" s="18">
        <v>44685</v>
      </c>
      <c r="DW2" s="18">
        <v>44686</v>
      </c>
      <c r="DX2" s="18">
        <v>44687</v>
      </c>
      <c r="DY2" s="18">
        <v>44688</v>
      </c>
      <c r="DZ2" s="18">
        <v>44689</v>
      </c>
      <c r="EA2" s="18">
        <v>44690</v>
      </c>
      <c r="EB2" s="18">
        <v>44691</v>
      </c>
      <c r="EC2" s="18">
        <v>44692</v>
      </c>
      <c r="ED2" s="18">
        <v>44693</v>
      </c>
      <c r="EE2" s="18">
        <v>44694</v>
      </c>
      <c r="EF2" s="18">
        <v>44695</v>
      </c>
      <c r="EG2" s="18">
        <v>44696</v>
      </c>
      <c r="EH2" s="18">
        <v>44697</v>
      </c>
      <c r="EI2" s="18">
        <v>44698</v>
      </c>
      <c r="EJ2" s="18">
        <v>44699</v>
      </c>
      <c r="EK2" s="18">
        <v>44700</v>
      </c>
      <c r="EL2" s="18">
        <v>44701</v>
      </c>
      <c r="EM2" s="18">
        <v>44702</v>
      </c>
      <c r="EN2" s="18">
        <v>44703</v>
      </c>
      <c r="EO2" s="18">
        <v>44704</v>
      </c>
      <c r="EP2" s="18">
        <v>44705</v>
      </c>
      <c r="EQ2" s="18">
        <v>44706</v>
      </c>
      <c r="ER2" s="18">
        <v>44707</v>
      </c>
      <c r="ES2" s="18">
        <v>44708</v>
      </c>
      <c r="ET2" s="18">
        <v>44709</v>
      </c>
      <c r="EU2" s="18">
        <v>44710</v>
      </c>
      <c r="EV2" s="18">
        <v>44711</v>
      </c>
      <c r="EW2" s="18">
        <v>44712</v>
      </c>
      <c r="EX2" s="18">
        <v>44713</v>
      </c>
      <c r="EY2" s="18">
        <v>44714</v>
      </c>
      <c r="EZ2" s="18">
        <v>44715</v>
      </c>
      <c r="FA2" s="18">
        <v>44716</v>
      </c>
      <c r="FB2" s="18">
        <v>44717</v>
      </c>
      <c r="FC2" s="18">
        <v>44718</v>
      </c>
      <c r="FD2" s="18">
        <v>44719</v>
      </c>
      <c r="FE2" s="18">
        <v>44720</v>
      </c>
      <c r="FF2" s="18">
        <v>44721</v>
      </c>
      <c r="FG2" s="18">
        <v>44722</v>
      </c>
      <c r="FH2" s="18">
        <v>44723</v>
      </c>
      <c r="FI2" s="18">
        <v>44724</v>
      </c>
      <c r="FJ2" s="18">
        <v>44725</v>
      </c>
      <c r="FK2" s="18">
        <v>44726</v>
      </c>
      <c r="FL2" s="18">
        <v>44727</v>
      </c>
      <c r="FM2" s="18">
        <v>44728</v>
      </c>
      <c r="FN2" s="18">
        <v>44729</v>
      </c>
      <c r="FO2" s="18">
        <v>44730</v>
      </c>
      <c r="FP2" s="18">
        <v>44731</v>
      </c>
      <c r="FQ2" s="18">
        <v>44732</v>
      </c>
      <c r="FR2" s="18">
        <v>44733</v>
      </c>
      <c r="FS2" s="18">
        <v>44734</v>
      </c>
      <c r="FT2" s="18">
        <v>44735</v>
      </c>
      <c r="FU2" s="18">
        <v>44736</v>
      </c>
      <c r="FV2" s="18">
        <v>44737</v>
      </c>
      <c r="FW2" s="18">
        <v>44738</v>
      </c>
      <c r="FX2" s="18">
        <v>44739</v>
      </c>
      <c r="FY2" s="18">
        <v>44740</v>
      </c>
      <c r="FZ2" s="18">
        <v>44741</v>
      </c>
      <c r="GA2" s="18">
        <v>44742</v>
      </c>
      <c r="GB2" s="18">
        <v>44743</v>
      </c>
      <c r="GC2" s="18">
        <v>44744</v>
      </c>
      <c r="GD2" s="18">
        <v>44745</v>
      </c>
      <c r="GE2" s="18">
        <v>44746</v>
      </c>
      <c r="GF2" s="18">
        <v>44747</v>
      </c>
      <c r="GG2" s="18">
        <v>44748</v>
      </c>
      <c r="GH2" s="18">
        <v>44749</v>
      </c>
      <c r="GI2" s="18">
        <v>44750</v>
      </c>
      <c r="GJ2" s="18">
        <v>44751</v>
      </c>
      <c r="GK2" s="18">
        <v>44752</v>
      </c>
      <c r="GL2" s="18">
        <v>44753</v>
      </c>
      <c r="GM2" s="18">
        <v>44754</v>
      </c>
      <c r="GN2" s="18">
        <v>44755</v>
      </c>
      <c r="GO2" s="18">
        <v>44756</v>
      </c>
      <c r="GP2" s="18">
        <v>44757</v>
      </c>
      <c r="GQ2" s="18">
        <v>44758</v>
      </c>
      <c r="GR2" s="18">
        <v>44759</v>
      </c>
      <c r="GS2" s="18">
        <v>44760</v>
      </c>
      <c r="GT2" s="18">
        <v>44761</v>
      </c>
      <c r="GU2" s="18">
        <v>44762</v>
      </c>
      <c r="GV2" s="18">
        <v>44763</v>
      </c>
      <c r="GW2" s="18">
        <v>44764</v>
      </c>
      <c r="GX2" s="18">
        <v>44765</v>
      </c>
      <c r="GY2" s="18">
        <v>44766</v>
      </c>
      <c r="GZ2" s="18">
        <v>44767</v>
      </c>
      <c r="HA2" s="18">
        <v>44768</v>
      </c>
      <c r="HB2" s="18">
        <v>44769</v>
      </c>
      <c r="HC2" s="18">
        <v>44770</v>
      </c>
      <c r="HD2" s="18">
        <v>44771</v>
      </c>
      <c r="HE2" s="18">
        <v>44772</v>
      </c>
      <c r="HF2" s="18">
        <v>44773</v>
      </c>
      <c r="HG2" s="18">
        <v>44774</v>
      </c>
      <c r="HH2" s="18">
        <v>44775</v>
      </c>
      <c r="HI2" s="18">
        <v>44776</v>
      </c>
      <c r="HJ2" s="18">
        <v>44777</v>
      </c>
      <c r="HK2" s="18">
        <v>44778</v>
      </c>
      <c r="HL2" s="18">
        <v>44779</v>
      </c>
      <c r="HM2" s="18">
        <v>44780</v>
      </c>
      <c r="HN2" s="18">
        <v>44781</v>
      </c>
      <c r="HO2" s="18">
        <v>44782</v>
      </c>
      <c r="HP2" s="18">
        <v>44783</v>
      </c>
      <c r="HQ2" s="18">
        <v>44784</v>
      </c>
      <c r="HR2" s="18">
        <v>44785</v>
      </c>
      <c r="HS2" s="18">
        <v>44786</v>
      </c>
      <c r="HT2" s="18">
        <v>44787</v>
      </c>
      <c r="HU2" s="18">
        <v>44788</v>
      </c>
      <c r="HV2" s="18">
        <v>44789</v>
      </c>
      <c r="HW2" s="18">
        <v>44790</v>
      </c>
      <c r="HX2" s="18">
        <v>44791</v>
      </c>
      <c r="HY2" s="18">
        <v>44792</v>
      </c>
      <c r="HZ2" s="18">
        <v>44793</v>
      </c>
      <c r="IA2" s="18">
        <v>44794</v>
      </c>
      <c r="IB2" s="18">
        <v>44795</v>
      </c>
      <c r="IC2" s="18">
        <v>44796</v>
      </c>
      <c r="ID2" s="18">
        <v>44797</v>
      </c>
      <c r="IE2" s="18">
        <v>44798</v>
      </c>
      <c r="IF2" s="18">
        <v>44799</v>
      </c>
      <c r="IG2" s="18">
        <v>44800</v>
      </c>
      <c r="IH2" s="18">
        <v>44801</v>
      </c>
      <c r="II2" s="18">
        <v>44802</v>
      </c>
      <c r="IJ2" s="18">
        <v>44803</v>
      </c>
      <c r="IK2" s="18">
        <v>44804</v>
      </c>
      <c r="IL2" s="18">
        <v>44805</v>
      </c>
      <c r="IM2" s="18">
        <v>44806</v>
      </c>
      <c r="IN2" s="18">
        <v>44807</v>
      </c>
      <c r="IO2" s="18">
        <v>44808</v>
      </c>
      <c r="IP2" s="18">
        <v>44809</v>
      </c>
      <c r="IQ2" s="18">
        <v>44810</v>
      </c>
      <c r="IR2" s="18">
        <v>44811</v>
      </c>
      <c r="IS2" s="18">
        <v>44812</v>
      </c>
      <c r="IT2" s="18">
        <v>44813</v>
      </c>
      <c r="IU2" s="18">
        <v>44814</v>
      </c>
      <c r="IV2" s="18">
        <v>44815</v>
      </c>
      <c r="IW2" s="18">
        <v>44816</v>
      </c>
      <c r="IX2" s="18">
        <v>44817</v>
      </c>
      <c r="IY2" s="18">
        <v>44818</v>
      </c>
      <c r="IZ2" s="18">
        <v>44819</v>
      </c>
      <c r="JA2" s="18">
        <v>44820</v>
      </c>
      <c r="JB2" s="18">
        <v>44821</v>
      </c>
      <c r="JC2" s="18">
        <v>44822</v>
      </c>
      <c r="JD2" s="18">
        <v>44823</v>
      </c>
      <c r="JE2" s="18">
        <v>44824</v>
      </c>
      <c r="JF2" s="18">
        <v>44825</v>
      </c>
      <c r="JG2" s="18">
        <v>44826</v>
      </c>
      <c r="JH2" s="18">
        <v>44827</v>
      </c>
      <c r="JI2" s="18">
        <v>44828</v>
      </c>
      <c r="JJ2" s="18">
        <v>44829</v>
      </c>
      <c r="JK2" s="18">
        <v>44830</v>
      </c>
      <c r="JL2" s="18">
        <v>44831</v>
      </c>
      <c r="JM2" s="18">
        <v>44832</v>
      </c>
      <c r="JN2" s="18">
        <v>44833</v>
      </c>
      <c r="JO2" s="18">
        <v>44834</v>
      </c>
      <c r="JP2" s="18">
        <v>44835</v>
      </c>
      <c r="JQ2" s="18">
        <v>44836</v>
      </c>
      <c r="JR2" s="18">
        <v>44837</v>
      </c>
      <c r="JS2" s="18">
        <v>44838</v>
      </c>
      <c r="JT2" s="18">
        <v>44839</v>
      </c>
      <c r="JU2" s="18">
        <v>44840</v>
      </c>
      <c r="JV2" s="18">
        <v>44841</v>
      </c>
      <c r="JW2" s="18">
        <v>44842</v>
      </c>
      <c r="JX2" s="18">
        <v>44843</v>
      </c>
      <c r="JY2" s="18">
        <v>44844</v>
      </c>
      <c r="JZ2" s="18">
        <v>44845</v>
      </c>
      <c r="KA2" s="18">
        <v>44846</v>
      </c>
      <c r="KB2" s="18">
        <v>44847</v>
      </c>
      <c r="KC2" s="18">
        <v>44848</v>
      </c>
      <c r="KD2" s="18">
        <v>44849</v>
      </c>
      <c r="KE2" s="18">
        <v>44850</v>
      </c>
      <c r="KF2" s="18">
        <v>44851</v>
      </c>
      <c r="KG2" s="18">
        <v>44852</v>
      </c>
      <c r="KH2" s="18">
        <v>44853</v>
      </c>
      <c r="KI2" s="18">
        <v>44854</v>
      </c>
      <c r="KJ2" s="18">
        <v>44855</v>
      </c>
      <c r="KK2" s="18">
        <v>44856</v>
      </c>
      <c r="KL2" s="18">
        <v>44857</v>
      </c>
      <c r="KM2" s="18">
        <v>44858</v>
      </c>
      <c r="KN2" s="18">
        <v>44859</v>
      </c>
      <c r="KO2" s="18">
        <v>44860</v>
      </c>
      <c r="KP2" s="18">
        <v>44861</v>
      </c>
      <c r="KQ2" s="18">
        <v>44862</v>
      </c>
      <c r="KR2" s="18">
        <v>44863</v>
      </c>
      <c r="KS2" s="18">
        <v>44864</v>
      </c>
      <c r="KT2" s="18">
        <v>44865</v>
      </c>
      <c r="KU2" s="18">
        <v>44866</v>
      </c>
      <c r="KV2" s="18">
        <v>44867</v>
      </c>
      <c r="KW2" s="18">
        <v>44868</v>
      </c>
      <c r="KX2" s="18">
        <v>44869</v>
      </c>
      <c r="KY2" s="18">
        <v>44870</v>
      </c>
      <c r="KZ2" s="18">
        <v>44871</v>
      </c>
      <c r="LA2" s="18">
        <v>44872</v>
      </c>
      <c r="LB2" s="18">
        <v>44873</v>
      </c>
      <c r="LC2" s="18">
        <v>44874</v>
      </c>
      <c r="LD2" s="18">
        <v>44875</v>
      </c>
      <c r="LE2" s="18">
        <v>44876</v>
      </c>
      <c r="LF2" s="18">
        <v>44877</v>
      </c>
      <c r="LG2" s="18">
        <v>44878</v>
      </c>
      <c r="LH2" s="18">
        <v>44879</v>
      </c>
      <c r="LI2" s="18">
        <v>44880</v>
      </c>
      <c r="LJ2" s="18">
        <v>44881</v>
      </c>
      <c r="LK2" s="18">
        <v>44882</v>
      </c>
      <c r="LL2" s="18">
        <v>44883</v>
      </c>
      <c r="LM2" s="18">
        <v>44884</v>
      </c>
      <c r="LN2" s="18">
        <v>44885</v>
      </c>
      <c r="LO2" s="18">
        <v>44886</v>
      </c>
      <c r="LP2" s="18">
        <v>44887</v>
      </c>
      <c r="LQ2" s="18">
        <v>44888</v>
      </c>
      <c r="LR2" s="18">
        <v>44889</v>
      </c>
      <c r="LS2" s="18">
        <v>44890</v>
      </c>
      <c r="LT2" s="18">
        <v>44891</v>
      </c>
      <c r="LU2" s="18">
        <v>44892</v>
      </c>
      <c r="LV2" s="18">
        <v>44893</v>
      </c>
      <c r="LW2" s="18">
        <v>44894</v>
      </c>
      <c r="LX2" s="18">
        <v>44895</v>
      </c>
      <c r="LY2" s="18">
        <v>44896</v>
      </c>
      <c r="LZ2" s="18">
        <v>44897</v>
      </c>
      <c r="MA2" s="18">
        <v>44898</v>
      </c>
      <c r="MB2" s="18">
        <v>44899</v>
      </c>
      <c r="MC2" s="18">
        <v>44900</v>
      </c>
      <c r="MD2" s="18">
        <v>44901</v>
      </c>
      <c r="ME2" s="18">
        <v>44902</v>
      </c>
      <c r="MF2" s="18">
        <v>44903</v>
      </c>
      <c r="MG2" s="18">
        <v>44904</v>
      </c>
      <c r="MH2" s="18">
        <v>44905</v>
      </c>
      <c r="MI2" s="18">
        <v>44906</v>
      </c>
      <c r="MJ2" s="18">
        <v>44907</v>
      </c>
      <c r="MK2" s="18">
        <v>44908</v>
      </c>
      <c r="ML2" s="18">
        <v>44909</v>
      </c>
      <c r="MM2" s="18">
        <v>44910</v>
      </c>
      <c r="MN2" s="18">
        <v>44911</v>
      </c>
      <c r="MO2" s="18">
        <v>44912</v>
      </c>
      <c r="MP2" s="18">
        <v>44913</v>
      </c>
      <c r="MQ2" s="18">
        <v>44914</v>
      </c>
      <c r="MR2" s="18">
        <v>44915</v>
      </c>
      <c r="MS2" s="18">
        <v>44916</v>
      </c>
      <c r="MT2" s="18">
        <v>44917</v>
      </c>
      <c r="MU2" s="18">
        <v>44918</v>
      </c>
      <c r="MV2" s="18">
        <v>44919</v>
      </c>
      <c r="MW2" s="18">
        <v>44920</v>
      </c>
      <c r="MX2" s="18">
        <v>44921</v>
      </c>
      <c r="MY2" s="18">
        <v>44922</v>
      </c>
      <c r="MZ2" s="18">
        <v>44923</v>
      </c>
      <c r="NA2" s="18">
        <v>44924</v>
      </c>
      <c r="NB2" s="18">
        <v>44925</v>
      </c>
      <c r="NC2" s="18">
        <v>44926</v>
      </c>
      <c r="ND2" s="18">
        <v>44927</v>
      </c>
      <c r="NE2" s="18">
        <v>44928</v>
      </c>
      <c r="NF2" s="18">
        <v>44929</v>
      </c>
    </row>
    <row r="3" spans="1:380" s="8" customFormat="1" ht="16.5" thickBot="1" x14ac:dyDescent="0.3">
      <c r="A3" s="6"/>
      <c r="B3" s="7" t="s">
        <v>11</v>
      </c>
      <c r="C3" s="9" t="s">
        <v>15</v>
      </c>
      <c r="D3" s="9" t="s">
        <v>15</v>
      </c>
      <c r="E3" s="9" t="s">
        <v>15</v>
      </c>
      <c r="F3" s="9" t="s">
        <v>15</v>
      </c>
      <c r="G3" s="9" t="s">
        <v>15</v>
      </c>
      <c r="H3" s="9" t="s">
        <v>15</v>
      </c>
      <c r="I3" s="9" t="s">
        <v>15</v>
      </c>
      <c r="J3" s="9" t="s">
        <v>15</v>
      </c>
      <c r="K3" s="9" t="s">
        <v>15</v>
      </c>
      <c r="L3" s="9" t="s">
        <v>15</v>
      </c>
      <c r="M3" s="9" t="s">
        <v>15</v>
      </c>
      <c r="N3" s="9" t="s">
        <v>15</v>
      </c>
      <c r="O3" s="9" t="s">
        <v>15</v>
      </c>
      <c r="P3" s="9" t="s">
        <v>15</v>
      </c>
      <c r="Q3" s="9" t="s">
        <v>15</v>
      </c>
      <c r="R3" s="9" t="s">
        <v>15</v>
      </c>
      <c r="S3" s="9" t="s">
        <v>15</v>
      </c>
      <c r="T3" s="9" t="s">
        <v>15</v>
      </c>
      <c r="U3" s="9" t="s">
        <v>15</v>
      </c>
      <c r="V3" s="9" t="s">
        <v>15</v>
      </c>
      <c r="W3" s="9" t="s">
        <v>15</v>
      </c>
      <c r="X3" s="9" t="s">
        <v>15</v>
      </c>
      <c r="Y3" s="9" t="s">
        <v>15</v>
      </c>
      <c r="Z3" s="9" t="s">
        <v>15</v>
      </c>
      <c r="AA3" s="9" t="s">
        <v>15</v>
      </c>
      <c r="AB3" s="9" t="s">
        <v>15</v>
      </c>
      <c r="AC3" s="9" t="s">
        <v>15</v>
      </c>
      <c r="AD3" s="9" t="s">
        <v>15</v>
      </c>
      <c r="AE3" s="9" t="s">
        <v>15</v>
      </c>
      <c r="AF3" s="9" t="s">
        <v>15</v>
      </c>
      <c r="AG3" s="9" t="s">
        <v>15</v>
      </c>
      <c r="AH3" s="9" t="s">
        <v>15</v>
      </c>
      <c r="AI3" s="9" t="s">
        <v>15</v>
      </c>
      <c r="AJ3" s="9" t="s">
        <v>15</v>
      </c>
      <c r="AK3" s="9" t="s">
        <v>15</v>
      </c>
      <c r="AL3" s="9" t="s">
        <v>15</v>
      </c>
      <c r="AM3" s="9" t="s">
        <v>15</v>
      </c>
      <c r="AN3" s="9" t="s">
        <v>15</v>
      </c>
      <c r="AO3" s="9" t="s">
        <v>15</v>
      </c>
      <c r="AP3" s="9" t="s">
        <v>15</v>
      </c>
      <c r="AQ3" s="9" t="s">
        <v>15</v>
      </c>
      <c r="AR3" s="9" t="s">
        <v>15</v>
      </c>
      <c r="AS3" s="9" t="s">
        <v>15</v>
      </c>
      <c r="AT3" s="9" t="s">
        <v>15</v>
      </c>
      <c r="AU3" s="9" t="s">
        <v>15</v>
      </c>
      <c r="AV3" s="9" t="s">
        <v>15</v>
      </c>
      <c r="AW3" s="9" t="s">
        <v>15</v>
      </c>
      <c r="AX3" s="9" t="s">
        <v>15</v>
      </c>
      <c r="AY3" s="9" t="s">
        <v>15</v>
      </c>
      <c r="AZ3" s="9" t="s">
        <v>15</v>
      </c>
      <c r="BA3" s="9" t="s">
        <v>15</v>
      </c>
      <c r="BB3" s="9" t="s">
        <v>15</v>
      </c>
      <c r="BC3" s="9" t="s">
        <v>15</v>
      </c>
      <c r="BD3" s="9" t="s">
        <v>15</v>
      </c>
      <c r="BE3" s="9" t="s">
        <v>15</v>
      </c>
      <c r="BF3" s="9" t="s">
        <v>15</v>
      </c>
      <c r="BG3" s="9" t="s">
        <v>15</v>
      </c>
      <c r="BH3" s="9" t="s">
        <v>15</v>
      </c>
      <c r="BI3" s="9" t="s">
        <v>15</v>
      </c>
      <c r="BJ3" s="9" t="s">
        <v>15</v>
      </c>
      <c r="BK3" s="9" t="s">
        <v>15</v>
      </c>
      <c r="BL3" s="9" t="s">
        <v>15</v>
      </c>
      <c r="BM3" s="9" t="s">
        <v>15</v>
      </c>
      <c r="BN3" s="9" t="s">
        <v>15</v>
      </c>
      <c r="BO3" s="9" t="s">
        <v>15</v>
      </c>
      <c r="BP3" s="9" t="s">
        <v>15</v>
      </c>
      <c r="BQ3" s="9" t="s">
        <v>15</v>
      </c>
      <c r="BR3" s="9" t="s">
        <v>15</v>
      </c>
      <c r="BS3" s="9" t="s">
        <v>15</v>
      </c>
      <c r="BT3" s="9" t="s">
        <v>15</v>
      </c>
      <c r="BU3" s="9" t="s">
        <v>15</v>
      </c>
      <c r="BV3" s="9" t="s">
        <v>15</v>
      </c>
      <c r="BW3" s="9" t="s">
        <v>15</v>
      </c>
      <c r="BX3" s="9" t="s">
        <v>15</v>
      </c>
      <c r="BY3" s="9" t="s">
        <v>15</v>
      </c>
      <c r="BZ3" s="9" t="s">
        <v>15</v>
      </c>
      <c r="CA3" s="9" t="s">
        <v>15</v>
      </c>
      <c r="CB3" s="9" t="s">
        <v>15</v>
      </c>
      <c r="CC3" s="9" t="s">
        <v>15</v>
      </c>
      <c r="CD3" s="9" t="s">
        <v>15</v>
      </c>
      <c r="CE3" s="9" t="s">
        <v>15</v>
      </c>
      <c r="CF3" s="9" t="s">
        <v>15</v>
      </c>
      <c r="CG3" s="9" t="s">
        <v>15</v>
      </c>
      <c r="CH3" s="9" t="s">
        <v>15</v>
      </c>
      <c r="CI3" s="9" t="s">
        <v>15</v>
      </c>
      <c r="CJ3" s="9" t="s">
        <v>15</v>
      </c>
      <c r="CK3" s="9" t="s">
        <v>15</v>
      </c>
      <c r="CL3" s="9" t="s">
        <v>15</v>
      </c>
      <c r="CM3" s="9" t="s">
        <v>15</v>
      </c>
      <c r="CN3" s="9" t="s">
        <v>15</v>
      </c>
      <c r="CO3" s="9" t="s">
        <v>15</v>
      </c>
      <c r="CP3" s="9" t="s">
        <v>15</v>
      </c>
      <c r="CQ3" s="9" t="s">
        <v>15</v>
      </c>
      <c r="CR3" s="9" t="s">
        <v>15</v>
      </c>
      <c r="CS3" s="9" t="s">
        <v>15</v>
      </c>
      <c r="CT3" s="9" t="s">
        <v>15</v>
      </c>
      <c r="CU3" s="9" t="s">
        <v>15</v>
      </c>
      <c r="CV3" s="9" t="s">
        <v>15</v>
      </c>
      <c r="CW3" s="9" t="s">
        <v>15</v>
      </c>
      <c r="CX3" s="9" t="s">
        <v>15</v>
      </c>
      <c r="CY3" s="9" t="s">
        <v>15</v>
      </c>
      <c r="CZ3" s="9" t="s">
        <v>15</v>
      </c>
      <c r="DA3" s="9" t="s">
        <v>15</v>
      </c>
      <c r="DB3" s="9" t="s">
        <v>15</v>
      </c>
      <c r="DC3" s="9" t="s">
        <v>15</v>
      </c>
      <c r="DD3" s="9" t="s">
        <v>15</v>
      </c>
      <c r="DE3" s="9" t="s">
        <v>15</v>
      </c>
      <c r="DF3" s="9" t="s">
        <v>15</v>
      </c>
      <c r="DG3" s="9" t="s">
        <v>15</v>
      </c>
      <c r="DH3" s="9" t="s">
        <v>15</v>
      </c>
      <c r="DI3" s="9" t="s">
        <v>15</v>
      </c>
      <c r="DJ3" s="9" t="s">
        <v>15</v>
      </c>
      <c r="DK3" s="9" t="s">
        <v>15</v>
      </c>
      <c r="DL3" s="9" t="s">
        <v>15</v>
      </c>
      <c r="DM3" s="9" t="s">
        <v>15</v>
      </c>
      <c r="DN3" s="9" t="s">
        <v>15</v>
      </c>
      <c r="DO3" s="9" t="s">
        <v>15</v>
      </c>
      <c r="DP3" s="9" t="s">
        <v>15</v>
      </c>
      <c r="DQ3" s="9" t="s">
        <v>15</v>
      </c>
      <c r="DR3" s="9" t="s">
        <v>15</v>
      </c>
      <c r="DS3" s="9" t="s">
        <v>15</v>
      </c>
      <c r="DT3" s="9" t="s">
        <v>15</v>
      </c>
      <c r="DU3" s="9" t="s">
        <v>15</v>
      </c>
      <c r="DV3" s="9" t="s">
        <v>15</v>
      </c>
      <c r="DW3" s="9" t="s">
        <v>15</v>
      </c>
      <c r="DX3" s="9" t="s">
        <v>15</v>
      </c>
      <c r="DY3" s="9" t="s">
        <v>15</v>
      </c>
      <c r="DZ3" s="9" t="s">
        <v>15</v>
      </c>
      <c r="EA3" s="9" t="s">
        <v>15</v>
      </c>
      <c r="EB3" s="9" t="s">
        <v>15</v>
      </c>
      <c r="EC3" s="9" t="s">
        <v>15</v>
      </c>
      <c r="ED3" s="9" t="s">
        <v>15</v>
      </c>
      <c r="EE3" s="9" t="s">
        <v>15</v>
      </c>
      <c r="EF3" s="9" t="s">
        <v>15</v>
      </c>
      <c r="EG3" s="9" t="s">
        <v>15</v>
      </c>
      <c r="EH3" s="9" t="s">
        <v>15</v>
      </c>
      <c r="EI3" s="9" t="s">
        <v>15</v>
      </c>
      <c r="EJ3" s="9" t="s">
        <v>15</v>
      </c>
      <c r="EK3" s="9" t="s">
        <v>15</v>
      </c>
      <c r="EL3" s="9" t="s">
        <v>15</v>
      </c>
      <c r="EM3" s="9" t="s">
        <v>15</v>
      </c>
      <c r="EN3" s="9" t="s">
        <v>15</v>
      </c>
      <c r="EO3" s="9" t="s">
        <v>15</v>
      </c>
      <c r="EP3" s="9" t="s">
        <v>15</v>
      </c>
      <c r="EQ3" s="9" t="s">
        <v>15</v>
      </c>
      <c r="ER3" s="9" t="s">
        <v>15</v>
      </c>
      <c r="ES3" s="9" t="s">
        <v>15</v>
      </c>
      <c r="ET3" s="9" t="s">
        <v>15</v>
      </c>
      <c r="EU3" s="9" t="s">
        <v>15</v>
      </c>
      <c r="EV3" s="9" t="s">
        <v>15</v>
      </c>
      <c r="EW3" s="9" t="s">
        <v>15</v>
      </c>
      <c r="EX3" s="9" t="s">
        <v>15</v>
      </c>
      <c r="EY3" s="9" t="s">
        <v>15</v>
      </c>
      <c r="EZ3" s="9" t="s">
        <v>15</v>
      </c>
      <c r="FA3" s="9" t="s">
        <v>15</v>
      </c>
      <c r="FB3" s="9" t="s">
        <v>15</v>
      </c>
      <c r="FC3" s="9" t="s">
        <v>15</v>
      </c>
      <c r="FD3" s="9" t="s">
        <v>15</v>
      </c>
      <c r="FE3" s="9" t="s">
        <v>15</v>
      </c>
      <c r="FF3" s="9" t="s">
        <v>15</v>
      </c>
      <c r="FG3" s="9" t="s">
        <v>15</v>
      </c>
      <c r="FH3" s="9" t="s">
        <v>15</v>
      </c>
      <c r="FI3" s="9" t="s">
        <v>15</v>
      </c>
      <c r="FJ3" s="9" t="s">
        <v>15</v>
      </c>
      <c r="FK3" s="9" t="s">
        <v>15</v>
      </c>
      <c r="FL3" s="9" t="s">
        <v>15</v>
      </c>
      <c r="FM3" s="9" t="s">
        <v>15</v>
      </c>
      <c r="FN3" s="9" t="s">
        <v>15</v>
      </c>
      <c r="FO3" s="9" t="s">
        <v>15</v>
      </c>
      <c r="FP3" s="9" t="s">
        <v>15</v>
      </c>
      <c r="FQ3" s="9" t="s">
        <v>15</v>
      </c>
      <c r="FR3" s="9" t="s">
        <v>15</v>
      </c>
      <c r="FS3" s="9" t="s">
        <v>15</v>
      </c>
      <c r="FT3" s="9" t="s">
        <v>15</v>
      </c>
      <c r="FU3" s="9" t="s">
        <v>15</v>
      </c>
      <c r="FV3" s="9" t="s">
        <v>15</v>
      </c>
      <c r="FW3" s="9" t="s">
        <v>15</v>
      </c>
      <c r="FX3" s="9" t="s">
        <v>15</v>
      </c>
      <c r="FY3" s="9" t="s">
        <v>15</v>
      </c>
      <c r="FZ3" s="9" t="s">
        <v>15</v>
      </c>
      <c r="GA3" s="9" t="s">
        <v>15</v>
      </c>
      <c r="GB3" s="9" t="s">
        <v>15</v>
      </c>
      <c r="GC3" s="9" t="s">
        <v>15</v>
      </c>
      <c r="GD3" s="9" t="s">
        <v>15</v>
      </c>
      <c r="GE3" s="9" t="s">
        <v>15</v>
      </c>
      <c r="GF3" s="9" t="s">
        <v>15</v>
      </c>
      <c r="GG3" s="9" t="s">
        <v>15</v>
      </c>
      <c r="GH3" s="9" t="s">
        <v>15</v>
      </c>
      <c r="GI3" s="9" t="s">
        <v>15</v>
      </c>
      <c r="GJ3" s="9" t="s">
        <v>15</v>
      </c>
      <c r="GK3" s="9" t="s">
        <v>15</v>
      </c>
      <c r="GL3" s="9" t="s">
        <v>15</v>
      </c>
      <c r="GM3" s="9" t="s">
        <v>15</v>
      </c>
      <c r="GN3" s="9" t="s">
        <v>15</v>
      </c>
      <c r="GO3" s="9" t="s">
        <v>15</v>
      </c>
      <c r="GP3" s="9" t="s">
        <v>15</v>
      </c>
      <c r="GQ3" s="9" t="s">
        <v>15</v>
      </c>
      <c r="GR3" s="9" t="s">
        <v>15</v>
      </c>
      <c r="GS3" s="9" t="s">
        <v>15</v>
      </c>
      <c r="GT3" s="9" t="s">
        <v>15</v>
      </c>
      <c r="GU3" s="9" t="s">
        <v>15</v>
      </c>
      <c r="GV3" s="9" t="s">
        <v>15</v>
      </c>
      <c r="GW3" s="9" t="s">
        <v>15</v>
      </c>
      <c r="GX3" s="9" t="s">
        <v>15</v>
      </c>
      <c r="GY3" s="9" t="s">
        <v>15</v>
      </c>
      <c r="GZ3" s="9" t="s">
        <v>15</v>
      </c>
      <c r="HA3" s="9" t="s">
        <v>15</v>
      </c>
      <c r="HB3" s="9" t="s">
        <v>15</v>
      </c>
      <c r="HC3" s="9" t="s">
        <v>15</v>
      </c>
      <c r="HD3" s="9" t="s">
        <v>15</v>
      </c>
      <c r="HE3" s="9" t="s">
        <v>15</v>
      </c>
      <c r="HF3" s="9" t="s">
        <v>15</v>
      </c>
      <c r="HG3" s="9" t="s">
        <v>15</v>
      </c>
      <c r="HH3" s="9" t="s">
        <v>15</v>
      </c>
      <c r="HI3" s="9" t="s">
        <v>15</v>
      </c>
      <c r="HJ3" s="9" t="s">
        <v>15</v>
      </c>
      <c r="HK3" s="9" t="s">
        <v>15</v>
      </c>
      <c r="HL3" s="9" t="s">
        <v>15</v>
      </c>
      <c r="HM3" s="9" t="s">
        <v>15</v>
      </c>
      <c r="HN3" s="9" t="s">
        <v>15</v>
      </c>
      <c r="HO3" s="9" t="s">
        <v>15</v>
      </c>
      <c r="HP3" s="9" t="s">
        <v>15</v>
      </c>
      <c r="HQ3" s="9" t="s">
        <v>15</v>
      </c>
      <c r="HR3" s="9" t="s">
        <v>15</v>
      </c>
      <c r="HS3" s="9" t="s">
        <v>15</v>
      </c>
      <c r="HT3" s="9" t="s">
        <v>15</v>
      </c>
      <c r="HU3" s="9" t="s">
        <v>15</v>
      </c>
      <c r="HV3" s="9" t="s">
        <v>15</v>
      </c>
      <c r="HW3" s="9" t="s">
        <v>15</v>
      </c>
      <c r="HX3" s="9" t="s">
        <v>15</v>
      </c>
      <c r="HY3" s="9" t="s">
        <v>15</v>
      </c>
      <c r="HZ3" s="9" t="s">
        <v>15</v>
      </c>
      <c r="IA3" s="9" t="s">
        <v>15</v>
      </c>
      <c r="IB3" s="9" t="s">
        <v>15</v>
      </c>
      <c r="IC3" s="9" t="s">
        <v>15</v>
      </c>
      <c r="ID3" s="9" t="s">
        <v>15</v>
      </c>
      <c r="IE3" s="9" t="s">
        <v>15</v>
      </c>
      <c r="IF3" s="9" t="s">
        <v>15</v>
      </c>
      <c r="IG3" s="9" t="s">
        <v>15</v>
      </c>
      <c r="IH3" s="9" t="s">
        <v>15</v>
      </c>
      <c r="II3" s="9" t="s">
        <v>15</v>
      </c>
      <c r="IJ3" s="9" t="s">
        <v>15</v>
      </c>
      <c r="IK3" s="9" t="s">
        <v>15</v>
      </c>
      <c r="IL3" s="9" t="s">
        <v>15</v>
      </c>
      <c r="IM3" s="9" t="s">
        <v>15</v>
      </c>
      <c r="IN3" s="9" t="s">
        <v>15</v>
      </c>
      <c r="IO3" s="9" t="s">
        <v>15</v>
      </c>
      <c r="IP3" s="9" t="s">
        <v>15</v>
      </c>
      <c r="IQ3" s="9" t="s">
        <v>15</v>
      </c>
      <c r="IR3" s="9" t="s">
        <v>15</v>
      </c>
      <c r="IS3" s="9" t="s">
        <v>15</v>
      </c>
      <c r="IT3" s="9" t="s">
        <v>15</v>
      </c>
      <c r="IU3" s="9" t="s">
        <v>15</v>
      </c>
      <c r="IV3" s="9" t="s">
        <v>15</v>
      </c>
      <c r="IW3" s="9" t="s">
        <v>15</v>
      </c>
      <c r="IX3" s="9" t="s">
        <v>15</v>
      </c>
      <c r="IY3" s="9" t="s">
        <v>15</v>
      </c>
      <c r="IZ3" s="9" t="s">
        <v>15</v>
      </c>
      <c r="JA3" s="9" t="s">
        <v>15</v>
      </c>
      <c r="JB3" s="9" t="s">
        <v>15</v>
      </c>
      <c r="JC3" s="9" t="s">
        <v>15</v>
      </c>
      <c r="JD3" s="9" t="s">
        <v>15</v>
      </c>
      <c r="JE3" s="9" t="s">
        <v>15</v>
      </c>
      <c r="JF3" s="9" t="s">
        <v>15</v>
      </c>
      <c r="JG3" s="9" t="s">
        <v>15</v>
      </c>
      <c r="JH3" s="9" t="s">
        <v>15</v>
      </c>
      <c r="JI3" s="9" t="s">
        <v>15</v>
      </c>
      <c r="JJ3" s="9" t="s">
        <v>15</v>
      </c>
      <c r="JK3" s="9" t="s">
        <v>15</v>
      </c>
      <c r="JL3" s="9" t="s">
        <v>15</v>
      </c>
      <c r="JM3" s="9" t="s">
        <v>15</v>
      </c>
      <c r="JN3" s="9" t="s">
        <v>15</v>
      </c>
      <c r="JO3" s="9" t="s">
        <v>15</v>
      </c>
      <c r="JP3" s="9" t="s">
        <v>15</v>
      </c>
      <c r="JQ3" s="9" t="s">
        <v>15</v>
      </c>
      <c r="JR3" s="9" t="s">
        <v>15</v>
      </c>
      <c r="JS3" s="9" t="s">
        <v>15</v>
      </c>
      <c r="JT3" s="9" t="s">
        <v>15</v>
      </c>
      <c r="JU3" s="9" t="s">
        <v>15</v>
      </c>
      <c r="JV3" s="9" t="s">
        <v>15</v>
      </c>
      <c r="JW3" s="9" t="s">
        <v>15</v>
      </c>
      <c r="JX3" s="9" t="s">
        <v>15</v>
      </c>
      <c r="JY3" s="9" t="s">
        <v>15</v>
      </c>
      <c r="JZ3" s="9" t="s">
        <v>15</v>
      </c>
      <c r="KA3" s="9" t="s">
        <v>15</v>
      </c>
      <c r="KB3" s="9" t="s">
        <v>15</v>
      </c>
      <c r="KC3" s="9" t="s">
        <v>15</v>
      </c>
      <c r="KD3" s="9" t="s">
        <v>15</v>
      </c>
      <c r="KE3" s="9" t="s">
        <v>15</v>
      </c>
      <c r="KF3" s="9" t="s">
        <v>15</v>
      </c>
      <c r="KG3" s="9" t="s">
        <v>15</v>
      </c>
      <c r="KH3" s="9" t="s">
        <v>15</v>
      </c>
      <c r="KI3" s="9" t="s">
        <v>15</v>
      </c>
      <c r="KJ3" s="9" t="s">
        <v>15</v>
      </c>
      <c r="KK3" s="9" t="s">
        <v>15</v>
      </c>
      <c r="KL3" s="9" t="s">
        <v>15</v>
      </c>
      <c r="KM3" s="9" t="s">
        <v>15</v>
      </c>
      <c r="KN3" s="9" t="s">
        <v>15</v>
      </c>
      <c r="KO3" s="9" t="s">
        <v>15</v>
      </c>
      <c r="KP3" s="9" t="s">
        <v>15</v>
      </c>
      <c r="KQ3" s="9" t="s">
        <v>15</v>
      </c>
      <c r="KR3" s="9" t="s">
        <v>15</v>
      </c>
      <c r="KS3" s="9" t="s">
        <v>15</v>
      </c>
      <c r="KT3" s="9" t="s">
        <v>15</v>
      </c>
      <c r="KU3" s="9" t="s">
        <v>15</v>
      </c>
      <c r="KV3" s="9" t="s">
        <v>15</v>
      </c>
      <c r="KW3" s="9" t="s">
        <v>15</v>
      </c>
      <c r="KX3" s="9" t="s">
        <v>15</v>
      </c>
      <c r="KY3" s="9" t="s">
        <v>15</v>
      </c>
      <c r="KZ3" s="9" t="s">
        <v>15</v>
      </c>
      <c r="LA3" s="9" t="s">
        <v>15</v>
      </c>
      <c r="LB3" s="9" t="s">
        <v>15</v>
      </c>
      <c r="LC3" s="9" t="s">
        <v>15</v>
      </c>
      <c r="LD3" s="9" t="s">
        <v>15</v>
      </c>
      <c r="LE3" s="9" t="s">
        <v>15</v>
      </c>
      <c r="LF3" s="9" t="s">
        <v>15</v>
      </c>
      <c r="LG3" s="9" t="s">
        <v>15</v>
      </c>
      <c r="LH3" s="9" t="s">
        <v>15</v>
      </c>
      <c r="LI3" s="9" t="s">
        <v>15</v>
      </c>
      <c r="LJ3" s="9" t="s">
        <v>15</v>
      </c>
      <c r="LK3" s="9" t="s">
        <v>15</v>
      </c>
      <c r="LL3" s="9" t="s">
        <v>15</v>
      </c>
      <c r="LM3" s="9" t="s">
        <v>15</v>
      </c>
      <c r="LN3" s="9" t="s">
        <v>15</v>
      </c>
      <c r="LO3" s="9" t="s">
        <v>15</v>
      </c>
      <c r="LP3" s="9" t="s">
        <v>15</v>
      </c>
      <c r="LQ3" s="9" t="s">
        <v>15</v>
      </c>
      <c r="LR3" s="9" t="s">
        <v>15</v>
      </c>
      <c r="LS3" s="9" t="s">
        <v>15</v>
      </c>
      <c r="LT3" s="9" t="s">
        <v>15</v>
      </c>
      <c r="LU3" s="9" t="s">
        <v>15</v>
      </c>
      <c r="LV3" s="9" t="s">
        <v>15</v>
      </c>
      <c r="LW3" s="9" t="s">
        <v>15</v>
      </c>
      <c r="LX3" s="9" t="s">
        <v>15</v>
      </c>
      <c r="LY3" s="9" t="s">
        <v>15</v>
      </c>
      <c r="LZ3" s="9" t="s">
        <v>15</v>
      </c>
      <c r="MA3" s="9" t="s">
        <v>15</v>
      </c>
      <c r="MB3" s="9" t="s">
        <v>15</v>
      </c>
      <c r="MC3" s="9" t="s">
        <v>15</v>
      </c>
      <c r="MD3" s="9" t="s">
        <v>15</v>
      </c>
      <c r="ME3" s="9" t="s">
        <v>15</v>
      </c>
      <c r="MF3" s="9" t="s">
        <v>15</v>
      </c>
      <c r="MG3" s="9" t="s">
        <v>15</v>
      </c>
      <c r="MH3" s="9" t="s">
        <v>15</v>
      </c>
      <c r="MI3" s="9" t="s">
        <v>15</v>
      </c>
      <c r="MJ3" s="9" t="s">
        <v>15</v>
      </c>
      <c r="MK3" s="9" t="s">
        <v>15</v>
      </c>
      <c r="ML3" s="9" t="s">
        <v>15</v>
      </c>
      <c r="MM3" s="9" t="s">
        <v>15</v>
      </c>
      <c r="MN3" s="9" t="s">
        <v>15</v>
      </c>
      <c r="MO3" s="9" t="s">
        <v>15</v>
      </c>
      <c r="MP3" s="9" t="s">
        <v>15</v>
      </c>
      <c r="MQ3" s="9" t="s">
        <v>15</v>
      </c>
      <c r="MR3" s="9" t="s">
        <v>15</v>
      </c>
      <c r="MS3" s="9" t="s">
        <v>15</v>
      </c>
      <c r="MT3" s="9" t="s">
        <v>15</v>
      </c>
      <c r="MU3" s="9" t="s">
        <v>15</v>
      </c>
      <c r="MV3" s="9" t="s">
        <v>15</v>
      </c>
      <c r="MW3" s="9" t="s">
        <v>15</v>
      </c>
      <c r="MX3" s="9" t="s">
        <v>15</v>
      </c>
      <c r="MY3" s="9" t="s">
        <v>15</v>
      </c>
      <c r="MZ3" s="9" t="s">
        <v>15</v>
      </c>
      <c r="NA3" s="9" t="s">
        <v>15</v>
      </c>
      <c r="NB3" s="9" t="s">
        <v>15</v>
      </c>
      <c r="NC3" s="9" t="s">
        <v>15</v>
      </c>
      <c r="ND3" s="9" t="s">
        <v>15</v>
      </c>
      <c r="NE3" s="9" t="s">
        <v>15</v>
      </c>
      <c r="NF3" s="9" t="s">
        <v>15</v>
      </c>
    </row>
    <row r="4" spans="1:380" ht="15.75" x14ac:dyDescent="0.25">
      <c r="A4" s="22">
        <f ca="1">A5</f>
        <v>44704</v>
      </c>
      <c r="B4" s="10">
        <v>701</v>
      </c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  <c r="AU4" s="122"/>
      <c r="AV4" s="122"/>
      <c r="AW4" s="122"/>
      <c r="AX4" s="122"/>
      <c r="AY4" s="122"/>
      <c r="AZ4" s="122"/>
      <c r="BA4" s="122"/>
      <c r="BB4" s="122"/>
      <c r="BC4" s="122"/>
      <c r="BD4" s="122"/>
      <c r="BE4" s="122"/>
      <c r="BF4" s="122"/>
      <c r="BG4" s="122"/>
      <c r="BH4" s="122"/>
      <c r="BI4" s="122"/>
      <c r="BJ4" s="122"/>
      <c r="BK4" s="122"/>
      <c r="BL4" s="122"/>
      <c r="BM4" s="122"/>
      <c r="BN4" s="122"/>
      <c r="BO4" s="122"/>
      <c r="BP4" s="122"/>
      <c r="BQ4" s="122"/>
      <c r="BR4" s="122"/>
      <c r="BS4" s="122"/>
      <c r="BT4" s="122"/>
      <c r="BU4" s="122"/>
      <c r="BV4" s="122"/>
      <c r="BW4" s="122"/>
      <c r="BX4" s="122"/>
      <c r="BY4" s="122"/>
      <c r="BZ4" s="122"/>
      <c r="CA4" s="122"/>
      <c r="CB4" s="122"/>
      <c r="CC4" s="122"/>
      <c r="CD4" s="122"/>
      <c r="CE4" s="122"/>
      <c r="CF4" s="122"/>
      <c r="CG4" s="122"/>
      <c r="CH4" s="122"/>
      <c r="CI4" s="122"/>
      <c r="CJ4" s="122"/>
      <c r="CK4" s="122"/>
      <c r="CL4" s="122"/>
      <c r="CM4" s="122"/>
      <c r="CN4" s="122"/>
      <c r="CO4" s="122"/>
      <c r="CP4" s="122"/>
      <c r="CQ4" s="122"/>
      <c r="CR4" s="122"/>
      <c r="CS4" s="122"/>
      <c r="CT4" s="122"/>
      <c r="CU4" s="122"/>
      <c r="CV4" s="122"/>
      <c r="CW4" s="122"/>
      <c r="CX4" s="122"/>
      <c r="CY4" s="122"/>
      <c r="CZ4" s="122"/>
      <c r="DA4" s="122"/>
      <c r="DB4" s="122"/>
      <c r="DC4" s="122"/>
      <c r="DD4" s="122"/>
      <c r="DE4" s="122"/>
      <c r="DF4" s="122"/>
      <c r="DG4" s="122"/>
      <c r="DH4" s="122"/>
      <c r="DI4" s="122"/>
      <c r="DJ4" s="122"/>
      <c r="DK4" s="122"/>
      <c r="DL4" s="122"/>
      <c r="DM4" s="122"/>
      <c r="DN4" s="122"/>
      <c r="DO4" s="122"/>
      <c r="DP4" s="122"/>
      <c r="DQ4" s="122"/>
      <c r="DR4" s="122"/>
      <c r="DS4" s="122"/>
      <c r="DT4" s="122"/>
      <c r="DU4" s="122"/>
      <c r="DV4" s="122"/>
      <c r="DW4" s="122"/>
      <c r="DX4" s="122"/>
      <c r="DY4" s="122"/>
      <c r="DZ4" s="122"/>
      <c r="EA4" s="122"/>
      <c r="EB4" s="122"/>
      <c r="EC4" s="122"/>
      <c r="ED4" s="122"/>
      <c r="EE4" s="122"/>
      <c r="EF4" s="122"/>
      <c r="EG4" s="122"/>
      <c r="EH4" s="122"/>
      <c r="EI4" s="122"/>
      <c r="EJ4" s="122"/>
      <c r="EK4" s="122"/>
      <c r="EL4" s="122"/>
      <c r="EM4" s="122"/>
      <c r="EN4" s="122"/>
      <c r="EO4" s="122"/>
      <c r="EP4" s="122"/>
      <c r="EQ4" s="122"/>
      <c r="ER4" s="122"/>
      <c r="ES4" s="122"/>
      <c r="ET4" s="122"/>
      <c r="EU4" s="122"/>
      <c r="EV4" s="122"/>
      <c r="EW4" s="122"/>
      <c r="EX4" s="122"/>
      <c r="EY4" s="122"/>
      <c r="EZ4" s="122"/>
      <c r="FA4" s="122"/>
      <c r="FB4" s="122"/>
      <c r="FC4" s="122"/>
      <c r="FD4" s="122"/>
      <c r="FE4" s="122"/>
      <c r="FF4" s="122"/>
      <c r="FG4" s="122"/>
      <c r="FH4" s="122"/>
      <c r="FI4" s="122"/>
      <c r="FJ4" s="122"/>
      <c r="FK4" s="122"/>
      <c r="FL4" s="122"/>
      <c r="FM4" s="122"/>
      <c r="FN4" s="122"/>
      <c r="FO4" s="122"/>
      <c r="FP4" s="122"/>
      <c r="FQ4" s="122"/>
      <c r="FR4" s="122"/>
      <c r="FS4" s="122"/>
      <c r="FT4" s="122"/>
      <c r="FU4" s="122"/>
      <c r="FV4" s="122"/>
      <c r="FW4" s="122"/>
      <c r="FX4" s="122"/>
      <c r="FY4" s="122"/>
      <c r="FZ4" s="122"/>
      <c r="GA4" s="122"/>
      <c r="GB4" s="122"/>
      <c r="GC4" s="122"/>
      <c r="GD4" s="122"/>
      <c r="GE4" s="122"/>
      <c r="GF4" s="122"/>
      <c r="GG4" s="122"/>
      <c r="GH4" s="122"/>
      <c r="GI4" s="122"/>
      <c r="GJ4" s="122"/>
      <c r="GK4" s="122"/>
      <c r="GL4" s="122"/>
      <c r="GM4" s="122"/>
      <c r="GN4" s="122"/>
      <c r="GO4" s="122"/>
      <c r="GP4" s="122"/>
      <c r="GQ4" s="122"/>
      <c r="GR4" s="122"/>
      <c r="GS4" s="122"/>
      <c r="GT4" s="122"/>
      <c r="GU4" s="122"/>
      <c r="GV4" s="122"/>
      <c r="GW4" s="122"/>
      <c r="GX4" s="122"/>
      <c r="GY4" s="122"/>
      <c r="GZ4" s="122"/>
      <c r="HA4" s="122"/>
      <c r="HB4" s="122"/>
      <c r="HC4" s="122"/>
      <c r="HD4" s="122"/>
      <c r="HE4" s="122"/>
      <c r="HF4" s="122"/>
      <c r="HG4" s="122"/>
      <c r="HH4" s="122"/>
      <c r="HI4" s="122"/>
      <c r="HJ4" s="122"/>
      <c r="HK4" s="122"/>
      <c r="HL4" s="122"/>
      <c r="HM4" s="122"/>
      <c r="HN4" s="122"/>
      <c r="HO4" s="122"/>
      <c r="HP4" s="122"/>
      <c r="HQ4" s="122"/>
      <c r="HR4" s="122"/>
      <c r="HS4" s="122"/>
      <c r="HT4" s="122"/>
      <c r="HU4" s="122"/>
      <c r="HV4" s="122"/>
      <c r="HW4" s="122"/>
      <c r="HX4" s="122"/>
      <c r="HY4" s="122"/>
      <c r="HZ4" s="122"/>
      <c r="IA4" s="122"/>
      <c r="IB4" s="122"/>
      <c r="IC4" s="122"/>
      <c r="ID4" s="122"/>
      <c r="IE4" s="122"/>
      <c r="IF4" s="122"/>
      <c r="IG4" s="122"/>
      <c r="IH4" s="122"/>
      <c r="II4" s="122"/>
      <c r="IJ4" s="122"/>
      <c r="IK4" s="122"/>
      <c r="IL4" s="122"/>
      <c r="IM4" s="122"/>
      <c r="IN4" s="122"/>
      <c r="IO4" s="122"/>
      <c r="IP4" s="122"/>
      <c r="IQ4" s="122"/>
      <c r="IR4" s="122"/>
      <c r="IS4" s="122"/>
      <c r="IT4" s="122"/>
      <c r="IU4" s="122"/>
      <c r="IV4" s="122"/>
      <c r="IW4" s="122"/>
      <c r="IX4" s="122"/>
      <c r="IY4" s="122"/>
      <c r="IZ4" s="122"/>
      <c r="JA4" s="122"/>
      <c r="JB4" s="122"/>
      <c r="JC4" s="122"/>
      <c r="JD4" s="122"/>
      <c r="JE4" s="122"/>
      <c r="JF4" s="122"/>
      <c r="JG4" s="122"/>
      <c r="JH4" s="122"/>
      <c r="JI4" s="122"/>
      <c r="JJ4" s="122"/>
      <c r="JK4" s="122"/>
      <c r="JL4" s="122"/>
      <c r="JM4" s="122"/>
      <c r="JN4" s="122"/>
      <c r="JO4" s="122"/>
      <c r="JP4" s="122"/>
      <c r="JQ4" s="122"/>
      <c r="JR4" s="122"/>
      <c r="JS4" s="122"/>
      <c r="JT4" s="122"/>
      <c r="JU4" s="122"/>
      <c r="JV4" s="122"/>
      <c r="JW4" s="122"/>
      <c r="JX4" s="122"/>
      <c r="JY4" s="122"/>
      <c r="JZ4" s="122"/>
      <c r="KA4" s="122"/>
      <c r="KB4" s="122"/>
      <c r="KC4" s="122"/>
      <c r="KD4" s="122"/>
      <c r="KE4" s="122"/>
      <c r="KF4" s="122"/>
      <c r="KG4" s="122"/>
      <c r="KH4" s="122"/>
      <c r="KI4" s="122"/>
      <c r="KJ4" s="122"/>
      <c r="KK4" s="122"/>
      <c r="KL4" s="122"/>
      <c r="KM4" s="122"/>
      <c r="KN4" s="122"/>
      <c r="KO4" s="122"/>
      <c r="KP4" s="122"/>
      <c r="KQ4" s="122"/>
      <c r="KR4" s="122"/>
      <c r="KS4" s="122"/>
      <c r="KT4" s="122"/>
      <c r="KU4" s="122"/>
      <c r="KV4" s="122"/>
      <c r="KW4" s="122"/>
      <c r="KX4" s="122"/>
      <c r="KY4" s="122"/>
      <c r="KZ4" s="122"/>
      <c r="LA4" s="122"/>
      <c r="LB4" s="122"/>
      <c r="LC4" s="122"/>
      <c r="LD4" s="122"/>
      <c r="LE4" s="122"/>
      <c r="LF4" s="122"/>
      <c r="LG4" s="122"/>
      <c r="LH4" s="122"/>
      <c r="LI4" s="122"/>
      <c r="LJ4" s="122"/>
      <c r="LK4" s="122"/>
      <c r="LL4" s="122"/>
      <c r="LM4" s="122"/>
      <c r="LN4" s="122"/>
      <c r="LO4" s="122"/>
      <c r="LP4" s="122"/>
      <c r="LQ4" s="122"/>
      <c r="LR4" s="122"/>
      <c r="LS4" s="122"/>
      <c r="LT4" s="122"/>
      <c r="LU4" s="122"/>
      <c r="LV4" s="122"/>
      <c r="LW4" s="122"/>
      <c r="LX4" s="122"/>
      <c r="LY4" s="122"/>
      <c r="LZ4" s="122"/>
      <c r="MA4" s="122"/>
      <c r="MB4" s="122"/>
      <c r="MC4" s="122"/>
      <c r="MD4" s="122"/>
      <c r="ME4" s="122"/>
      <c r="MF4" s="122"/>
      <c r="MG4" s="122"/>
      <c r="MH4" s="122"/>
      <c r="MI4" s="122"/>
      <c r="MJ4" s="122"/>
      <c r="MK4" s="122"/>
      <c r="ML4" s="122"/>
      <c r="MM4" s="122"/>
      <c r="MN4" s="122"/>
      <c r="MO4" s="122"/>
      <c r="MP4" s="122"/>
      <c r="MQ4" s="122"/>
      <c r="MR4" s="122"/>
      <c r="MS4" s="122"/>
      <c r="MT4" s="122"/>
      <c r="MU4" s="122"/>
      <c r="MV4" s="122"/>
      <c r="MW4" s="122"/>
      <c r="MX4" s="122"/>
      <c r="MY4" s="122"/>
      <c r="MZ4" s="122"/>
      <c r="NA4" s="122"/>
      <c r="NB4" s="122"/>
      <c r="NC4" s="122"/>
      <c r="ND4" s="122"/>
      <c r="NE4" s="122"/>
      <c r="NF4" s="122"/>
      <c r="NI4" s="24"/>
      <c r="NJ4" s="24"/>
      <c r="NK4" s="24"/>
      <c r="NM4" s="24"/>
      <c r="NN4" s="24"/>
      <c r="NO4" s="24"/>
      <c r="NP4" s="24"/>
    </row>
    <row r="5" spans="1:380" ht="15.75" x14ac:dyDescent="0.25">
      <c r="A5" s="23">
        <f ca="1">TODAY()</f>
        <v>44704</v>
      </c>
      <c r="B5" s="11">
        <v>702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123"/>
      <c r="BX5" s="123"/>
      <c r="BY5" s="123"/>
      <c r="BZ5" s="123"/>
      <c r="CA5" s="123"/>
      <c r="CB5" s="123"/>
      <c r="CC5" s="123"/>
      <c r="CD5" s="123"/>
      <c r="CE5" s="123"/>
      <c r="CF5" s="123"/>
      <c r="CG5" s="123"/>
      <c r="CH5" s="123"/>
      <c r="CI5" s="123"/>
      <c r="CJ5" s="123"/>
      <c r="CK5" s="123"/>
      <c r="CL5" s="123"/>
      <c r="CM5" s="123"/>
      <c r="CN5" s="123"/>
      <c r="CO5" s="123"/>
      <c r="CP5" s="123"/>
      <c r="CQ5" s="123"/>
      <c r="CR5" s="123"/>
      <c r="CS5" s="123"/>
      <c r="CT5" s="123"/>
      <c r="CU5" s="123"/>
      <c r="CV5" s="123"/>
      <c r="CW5" s="123"/>
      <c r="CX5" s="123"/>
      <c r="CY5" s="123"/>
      <c r="CZ5" s="123"/>
      <c r="DA5" s="123"/>
      <c r="DB5" s="123"/>
      <c r="DC5" s="123"/>
      <c r="DD5" s="123"/>
      <c r="DE5" s="123"/>
      <c r="DF5" s="123"/>
      <c r="DG5" s="123"/>
      <c r="DH5" s="123"/>
      <c r="DI5" s="123"/>
      <c r="DJ5" s="123"/>
      <c r="DK5" s="123"/>
      <c r="DL5" s="123"/>
      <c r="DM5" s="123"/>
      <c r="DN5" s="123"/>
      <c r="DO5" s="123"/>
      <c r="DP5" s="123"/>
      <c r="DQ5" s="123"/>
      <c r="DR5" s="123"/>
      <c r="DS5" s="123"/>
      <c r="DT5" s="123"/>
      <c r="DU5" s="123"/>
      <c r="DV5" s="123"/>
      <c r="DW5" s="123"/>
      <c r="DX5" s="123"/>
      <c r="DY5" s="123"/>
      <c r="DZ5" s="123"/>
      <c r="EA5" s="123"/>
      <c r="EB5" s="123"/>
      <c r="EC5" s="123"/>
      <c r="ED5" s="123"/>
      <c r="EE5" s="123"/>
      <c r="EF5" s="123"/>
      <c r="EG5" s="123"/>
      <c r="EH5" s="123"/>
      <c r="EI5" s="123"/>
      <c r="EJ5" s="123"/>
      <c r="EK5" s="123"/>
      <c r="EL5" s="123"/>
      <c r="EM5" s="123"/>
      <c r="EN5" s="123"/>
      <c r="EO5" s="123"/>
      <c r="EP5" s="123"/>
      <c r="EQ5" s="123"/>
      <c r="ER5" s="123"/>
      <c r="ES5" s="123"/>
      <c r="ET5" s="123"/>
      <c r="EU5" s="123"/>
      <c r="EV5" s="123"/>
      <c r="EW5" s="123"/>
      <c r="EX5" s="123"/>
      <c r="EY5" s="123"/>
      <c r="EZ5" s="123"/>
      <c r="FA5" s="123"/>
      <c r="FB5" s="123"/>
      <c r="FC5" s="123"/>
      <c r="FD5" s="123"/>
      <c r="FE5" s="123"/>
      <c r="FF5" s="123"/>
      <c r="FG5" s="123"/>
      <c r="FH5" s="123"/>
      <c r="FI5" s="123"/>
      <c r="FJ5" s="123"/>
      <c r="FK5" s="123"/>
      <c r="FL5" s="123"/>
      <c r="FM5" s="123"/>
      <c r="FN5" s="123"/>
      <c r="FO5" s="123"/>
      <c r="FP5" s="123"/>
      <c r="FQ5" s="123"/>
      <c r="FR5" s="123"/>
      <c r="FS5" s="123"/>
      <c r="FT5" s="123"/>
      <c r="FU5" s="123"/>
      <c r="FV5" s="123"/>
      <c r="FW5" s="123"/>
      <c r="FX5" s="123"/>
      <c r="FY5" s="123"/>
      <c r="FZ5" s="123"/>
      <c r="GA5" s="123"/>
      <c r="GB5" s="123"/>
      <c r="GC5" s="123"/>
      <c r="GD5" s="123"/>
      <c r="GE5" s="123"/>
      <c r="GF5" s="123"/>
      <c r="GG5" s="123"/>
      <c r="GH5" s="123"/>
      <c r="GI5" s="123"/>
      <c r="GJ5" s="123"/>
      <c r="GK5" s="123"/>
      <c r="GL5" s="123"/>
      <c r="GM5" s="123"/>
      <c r="GN5" s="123"/>
      <c r="GO5" s="123"/>
      <c r="GP5" s="123"/>
      <c r="GQ5" s="123"/>
      <c r="GR5" s="123"/>
      <c r="GS5" s="123"/>
      <c r="GT5" s="123"/>
      <c r="GU5" s="123"/>
      <c r="GV5" s="123"/>
      <c r="GW5" s="123"/>
      <c r="GX5" s="123"/>
      <c r="GY5" s="123"/>
      <c r="GZ5" s="123"/>
      <c r="HA5" s="123"/>
      <c r="HB5" s="123"/>
      <c r="HC5" s="123"/>
      <c r="HD5" s="123"/>
      <c r="HE5" s="123"/>
      <c r="HF5" s="123"/>
      <c r="HG5" s="123"/>
      <c r="HH5" s="123"/>
      <c r="HI5" s="123"/>
      <c r="HJ5" s="123"/>
      <c r="HK5" s="123"/>
      <c r="HL5" s="123"/>
      <c r="HM5" s="123"/>
      <c r="HN5" s="123"/>
      <c r="HO5" s="123"/>
      <c r="HP5" s="123"/>
      <c r="HQ5" s="123"/>
      <c r="HR5" s="123"/>
      <c r="HS5" s="123"/>
      <c r="HT5" s="123"/>
      <c r="HU5" s="123"/>
      <c r="HV5" s="123"/>
      <c r="HW5" s="123"/>
      <c r="HX5" s="123"/>
      <c r="HY5" s="123"/>
      <c r="HZ5" s="123"/>
      <c r="IA5" s="123"/>
      <c r="IB5" s="123"/>
      <c r="IC5" s="123"/>
      <c r="ID5" s="123"/>
      <c r="IE5" s="123"/>
      <c r="IF5" s="123"/>
      <c r="IG5" s="123"/>
      <c r="IH5" s="123"/>
      <c r="II5" s="123"/>
      <c r="IJ5" s="123"/>
      <c r="IK5" s="123"/>
      <c r="IL5" s="123"/>
      <c r="IM5" s="123"/>
      <c r="IN5" s="123"/>
      <c r="IO5" s="123"/>
      <c r="IP5" s="123"/>
      <c r="IQ5" s="123"/>
      <c r="IR5" s="123"/>
      <c r="IS5" s="123"/>
      <c r="IT5" s="123"/>
      <c r="IU5" s="123"/>
      <c r="IV5" s="123"/>
      <c r="IW5" s="123"/>
      <c r="IX5" s="123"/>
      <c r="IY5" s="123"/>
      <c r="IZ5" s="123"/>
      <c r="JA5" s="123"/>
      <c r="JB5" s="123"/>
      <c r="JC5" s="123"/>
      <c r="JD5" s="123"/>
      <c r="JE5" s="123"/>
      <c r="JF5" s="123"/>
      <c r="JG5" s="123"/>
      <c r="JH5" s="123"/>
      <c r="JI5" s="123"/>
      <c r="JJ5" s="123"/>
      <c r="JK5" s="123"/>
      <c r="JL5" s="123"/>
      <c r="JM5" s="123"/>
      <c r="JN5" s="123"/>
      <c r="JO5" s="123"/>
      <c r="JP5" s="123"/>
      <c r="JQ5" s="123"/>
      <c r="JR5" s="123"/>
      <c r="JS5" s="123"/>
      <c r="JT5" s="123"/>
      <c r="JU5" s="123"/>
      <c r="JV5" s="123"/>
      <c r="JW5" s="123"/>
      <c r="JX5" s="123"/>
      <c r="JY5" s="123"/>
      <c r="JZ5" s="123"/>
      <c r="KA5" s="123"/>
      <c r="KB5" s="123"/>
      <c r="KC5" s="123"/>
      <c r="KD5" s="123"/>
      <c r="KE5" s="123"/>
      <c r="KF5" s="123"/>
      <c r="KG5" s="123"/>
      <c r="KH5" s="123"/>
      <c r="KI5" s="123"/>
      <c r="KJ5" s="123"/>
      <c r="KK5" s="123"/>
      <c r="KL5" s="123"/>
      <c r="KM5" s="123"/>
      <c r="KN5" s="123"/>
      <c r="KO5" s="123"/>
      <c r="KP5" s="123"/>
      <c r="KQ5" s="123"/>
      <c r="KR5" s="123"/>
      <c r="KS5" s="123"/>
      <c r="KT5" s="123"/>
      <c r="KU5" s="123"/>
      <c r="KV5" s="123"/>
      <c r="KW5" s="123"/>
      <c r="KX5" s="123"/>
      <c r="KY5" s="123"/>
      <c r="KZ5" s="123"/>
      <c r="LA5" s="123"/>
      <c r="LB5" s="123"/>
      <c r="LC5" s="123"/>
      <c r="LD5" s="123"/>
      <c r="LE5" s="123"/>
      <c r="LF5" s="123"/>
      <c r="LG5" s="123"/>
      <c r="LH5" s="123"/>
      <c r="LI5" s="123"/>
      <c r="LJ5" s="123"/>
      <c r="LK5" s="123"/>
      <c r="LL5" s="123"/>
      <c r="LM5" s="123"/>
      <c r="LN5" s="123"/>
      <c r="LO5" s="123"/>
      <c r="LP5" s="123"/>
      <c r="LQ5" s="123"/>
      <c r="LR5" s="123"/>
      <c r="LS5" s="123"/>
      <c r="LT5" s="123"/>
      <c r="LU5" s="123"/>
      <c r="LV5" s="123"/>
      <c r="LW5" s="123"/>
      <c r="LX5" s="123"/>
      <c r="LY5" s="123"/>
      <c r="LZ5" s="123"/>
      <c r="MA5" s="123"/>
      <c r="MB5" s="123"/>
      <c r="MC5" s="123"/>
      <c r="MD5" s="123"/>
      <c r="ME5" s="123"/>
      <c r="MF5" s="123"/>
      <c r="MG5" s="123"/>
      <c r="MH5" s="123"/>
      <c r="MI5" s="123"/>
      <c r="MJ5" s="123"/>
      <c r="MK5" s="123"/>
      <c r="ML5" s="123"/>
      <c r="MM5" s="123"/>
      <c r="MN5" s="123"/>
      <c r="MO5" s="123"/>
      <c r="MP5" s="123"/>
      <c r="MQ5" s="123"/>
      <c r="MR5" s="123"/>
      <c r="MS5" s="123"/>
      <c r="MT5" s="123"/>
      <c r="MU5" s="123"/>
      <c r="MV5" s="123"/>
      <c r="MW5" s="123"/>
      <c r="MX5" s="123"/>
      <c r="MY5" s="123"/>
      <c r="MZ5" s="123"/>
      <c r="NA5" s="123"/>
      <c r="NB5" s="123"/>
      <c r="NC5" s="123"/>
      <c r="ND5" s="123"/>
      <c r="NE5" s="123"/>
      <c r="NF5" s="123"/>
      <c r="NI5" s="24"/>
      <c r="NJ5" s="24"/>
      <c r="NK5" s="24"/>
      <c r="NL5" s="24"/>
      <c r="NM5" s="24"/>
      <c r="NN5" s="24"/>
      <c r="NO5" s="24"/>
      <c r="NP5" s="24"/>
    </row>
    <row r="6" spans="1:380" ht="15.75" x14ac:dyDescent="0.25">
      <c r="B6" s="11">
        <v>703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123"/>
      <c r="DS6" s="123"/>
      <c r="DT6" s="123"/>
      <c r="DU6" s="123"/>
      <c r="DV6" s="123"/>
      <c r="DW6" s="123"/>
      <c r="DX6" s="123"/>
      <c r="DY6" s="123"/>
      <c r="DZ6" s="123"/>
      <c r="EA6" s="123"/>
      <c r="EB6" s="123"/>
      <c r="EC6" s="123"/>
      <c r="ED6" s="123"/>
      <c r="EE6" s="123"/>
      <c r="EF6" s="123"/>
      <c r="EG6" s="123"/>
      <c r="EH6" s="123"/>
      <c r="EI6" s="123"/>
      <c r="EJ6" s="123"/>
      <c r="EK6" s="123"/>
      <c r="EL6" s="123"/>
      <c r="EM6" s="123"/>
      <c r="EN6" s="123"/>
      <c r="EO6" s="123"/>
      <c r="EP6" s="123"/>
      <c r="EQ6" s="123"/>
      <c r="ER6" s="123"/>
      <c r="ES6" s="123"/>
      <c r="ET6" s="123"/>
      <c r="EU6" s="123"/>
      <c r="EV6" s="123"/>
      <c r="EW6" s="123"/>
      <c r="EX6" s="123"/>
      <c r="EY6" s="123"/>
      <c r="EZ6" s="123"/>
      <c r="FA6" s="123"/>
      <c r="FB6" s="123"/>
      <c r="FC6" s="123"/>
      <c r="FD6" s="123"/>
      <c r="FE6" s="123"/>
      <c r="FF6" s="123"/>
      <c r="FG6" s="123"/>
      <c r="FH6" s="123"/>
      <c r="FI6" s="123"/>
      <c r="FJ6" s="123"/>
      <c r="FK6" s="123"/>
      <c r="FL6" s="123"/>
      <c r="FM6" s="123"/>
      <c r="FN6" s="123"/>
      <c r="FO6" s="123"/>
      <c r="FP6" s="123"/>
      <c r="FQ6" s="123"/>
      <c r="FR6" s="123"/>
      <c r="FS6" s="123"/>
      <c r="FT6" s="123"/>
      <c r="FU6" s="123"/>
      <c r="FV6" s="123"/>
      <c r="FW6" s="123"/>
      <c r="FX6" s="123"/>
      <c r="FY6" s="123"/>
      <c r="FZ6" s="123"/>
      <c r="GA6" s="123"/>
      <c r="GB6" s="123"/>
      <c r="GC6" s="123"/>
      <c r="GD6" s="123"/>
      <c r="GE6" s="123"/>
      <c r="GF6" s="123"/>
      <c r="GG6" s="123"/>
      <c r="GH6" s="123"/>
      <c r="GI6" s="123"/>
      <c r="GJ6" s="123"/>
      <c r="GK6" s="123"/>
      <c r="GL6" s="123"/>
      <c r="GM6" s="123"/>
      <c r="GN6" s="123"/>
      <c r="GO6" s="123"/>
      <c r="GP6" s="123"/>
      <c r="GQ6" s="123"/>
      <c r="GR6" s="123"/>
      <c r="GS6" s="123"/>
      <c r="GT6" s="123"/>
      <c r="GU6" s="123"/>
      <c r="GV6" s="123"/>
      <c r="GW6" s="123"/>
      <c r="GX6" s="123"/>
      <c r="GY6" s="123"/>
      <c r="GZ6" s="123"/>
      <c r="HA6" s="123"/>
      <c r="HB6" s="123"/>
      <c r="HC6" s="123"/>
      <c r="HD6" s="123"/>
      <c r="HE6" s="123"/>
      <c r="HF6" s="123"/>
      <c r="HG6" s="123"/>
      <c r="HH6" s="123"/>
      <c r="HI6" s="123"/>
      <c r="HJ6" s="123"/>
      <c r="HK6" s="123"/>
      <c r="HL6" s="123"/>
      <c r="HM6" s="123"/>
      <c r="HN6" s="123"/>
      <c r="HO6" s="123"/>
      <c r="HP6" s="123"/>
      <c r="HQ6" s="123"/>
      <c r="HR6" s="123"/>
      <c r="HS6" s="123"/>
      <c r="HT6" s="123"/>
      <c r="HU6" s="123"/>
      <c r="HV6" s="123"/>
      <c r="HW6" s="123"/>
      <c r="HX6" s="123"/>
      <c r="HY6" s="123"/>
      <c r="HZ6" s="123"/>
      <c r="IA6" s="123"/>
      <c r="IB6" s="123"/>
      <c r="IC6" s="123"/>
      <c r="ID6" s="123"/>
      <c r="IE6" s="123"/>
      <c r="IF6" s="123"/>
      <c r="IG6" s="123"/>
      <c r="IH6" s="123"/>
      <c r="II6" s="123"/>
      <c r="IJ6" s="123"/>
      <c r="IK6" s="123"/>
      <c r="IL6" s="123"/>
      <c r="IM6" s="123"/>
      <c r="IN6" s="123"/>
      <c r="IO6" s="123"/>
      <c r="IP6" s="123"/>
      <c r="IQ6" s="123"/>
      <c r="IR6" s="123"/>
      <c r="IS6" s="123"/>
      <c r="IT6" s="123"/>
      <c r="IU6" s="123"/>
      <c r="IV6" s="123"/>
      <c r="IW6" s="123"/>
      <c r="IX6" s="123"/>
      <c r="IY6" s="123"/>
      <c r="IZ6" s="123"/>
      <c r="JA6" s="123"/>
      <c r="JB6" s="123"/>
      <c r="JC6" s="123"/>
      <c r="JD6" s="123"/>
      <c r="JE6" s="123"/>
      <c r="JF6" s="123"/>
      <c r="JG6" s="123"/>
      <c r="JH6" s="123"/>
      <c r="JI6" s="123"/>
      <c r="JJ6" s="123"/>
      <c r="JK6" s="123"/>
      <c r="JL6" s="123"/>
      <c r="JM6" s="123"/>
      <c r="JN6" s="123"/>
      <c r="JO6" s="123"/>
      <c r="JP6" s="123"/>
      <c r="JQ6" s="123"/>
      <c r="JR6" s="123"/>
      <c r="JS6" s="123"/>
      <c r="JT6" s="123"/>
      <c r="JU6" s="123"/>
      <c r="JV6" s="123"/>
      <c r="JW6" s="123"/>
      <c r="JX6" s="123"/>
      <c r="JY6" s="123"/>
      <c r="JZ6" s="123"/>
      <c r="KA6" s="123"/>
      <c r="KB6" s="123"/>
      <c r="KC6" s="123"/>
      <c r="KD6" s="123"/>
      <c r="KE6" s="123"/>
      <c r="KF6" s="123"/>
      <c r="KG6" s="123"/>
      <c r="KH6" s="123"/>
      <c r="KI6" s="123"/>
      <c r="KJ6" s="123"/>
      <c r="KK6" s="123"/>
      <c r="KL6" s="123"/>
      <c r="KM6" s="123"/>
      <c r="KN6" s="123"/>
      <c r="KO6" s="123"/>
      <c r="KP6" s="123"/>
      <c r="KQ6" s="123"/>
      <c r="KR6" s="123"/>
      <c r="KS6" s="123"/>
      <c r="KT6" s="123"/>
      <c r="KU6" s="123"/>
      <c r="KV6" s="123"/>
      <c r="KW6" s="123"/>
      <c r="KX6" s="123"/>
      <c r="KY6" s="123"/>
      <c r="KZ6" s="123"/>
      <c r="LA6" s="123"/>
      <c r="LB6" s="123"/>
      <c r="LC6" s="123"/>
      <c r="LD6" s="123"/>
      <c r="LE6" s="123"/>
      <c r="LF6" s="123"/>
      <c r="LG6" s="123"/>
      <c r="LH6" s="123"/>
      <c r="LI6" s="123"/>
      <c r="LJ6" s="123"/>
      <c r="LK6" s="123"/>
      <c r="LL6" s="123"/>
      <c r="LM6" s="123"/>
      <c r="LN6" s="123"/>
      <c r="LO6" s="123"/>
      <c r="LP6" s="123"/>
      <c r="LQ6" s="123"/>
      <c r="LR6" s="123"/>
      <c r="LS6" s="123"/>
      <c r="LT6" s="123"/>
      <c r="LU6" s="123"/>
      <c r="LV6" s="123"/>
      <c r="LW6" s="123"/>
      <c r="LX6" s="123"/>
      <c r="LY6" s="123"/>
      <c r="LZ6" s="123"/>
      <c r="MA6" s="123"/>
      <c r="MB6" s="123"/>
      <c r="MC6" s="123"/>
      <c r="MD6" s="123"/>
      <c r="ME6" s="123"/>
      <c r="MF6" s="123"/>
      <c r="MG6" s="123"/>
      <c r="MH6" s="123"/>
      <c r="MI6" s="123"/>
      <c r="MJ6" s="123"/>
      <c r="MK6" s="123"/>
      <c r="ML6" s="123"/>
      <c r="MM6" s="123"/>
      <c r="MN6" s="123"/>
      <c r="MO6" s="123"/>
      <c r="MP6" s="123"/>
      <c r="MQ6" s="123"/>
      <c r="MR6" s="123"/>
      <c r="MS6" s="123"/>
      <c r="MT6" s="123"/>
      <c r="MU6" s="123"/>
      <c r="MV6" s="123"/>
      <c r="MW6" s="123"/>
      <c r="MX6" s="123"/>
      <c r="MY6" s="123"/>
      <c r="MZ6" s="123"/>
      <c r="NA6" s="123"/>
      <c r="NB6" s="123"/>
      <c r="NC6" s="123"/>
      <c r="ND6" s="123"/>
      <c r="NE6" s="123"/>
      <c r="NF6" s="123"/>
      <c r="NI6" s="24"/>
      <c r="NJ6" s="24"/>
      <c r="NK6" s="24"/>
      <c r="NL6" s="24"/>
      <c r="NM6" s="24"/>
      <c r="NN6" s="24"/>
      <c r="NP6" s="24"/>
    </row>
    <row r="7" spans="1:380" ht="15.75" x14ac:dyDescent="0.25">
      <c r="B7" s="12">
        <v>704</v>
      </c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3"/>
      <c r="AT7" s="123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3"/>
      <c r="BF7" s="123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3"/>
      <c r="BR7" s="123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3"/>
      <c r="CD7" s="123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3"/>
      <c r="CP7" s="123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3"/>
      <c r="DB7" s="123"/>
      <c r="DC7" s="123"/>
      <c r="DD7" s="123"/>
      <c r="DE7" s="123"/>
      <c r="DF7" s="123"/>
      <c r="DG7" s="123"/>
      <c r="DH7" s="123"/>
      <c r="DI7" s="123"/>
      <c r="DJ7" s="123"/>
      <c r="DK7" s="123"/>
      <c r="DL7" s="123"/>
      <c r="DM7" s="123"/>
      <c r="DN7" s="123"/>
      <c r="DO7" s="123"/>
      <c r="DP7" s="123"/>
      <c r="DQ7" s="123"/>
      <c r="DR7" s="123"/>
      <c r="DS7" s="123"/>
      <c r="DT7" s="123"/>
      <c r="DU7" s="123"/>
      <c r="DV7" s="123"/>
      <c r="DW7" s="123"/>
      <c r="DX7" s="123"/>
      <c r="DY7" s="123"/>
      <c r="DZ7" s="123"/>
      <c r="EA7" s="123"/>
      <c r="EB7" s="123"/>
      <c r="EC7" s="123"/>
      <c r="ED7" s="123"/>
      <c r="EE7" s="123"/>
      <c r="EF7" s="123"/>
      <c r="EG7" s="123"/>
      <c r="EH7" s="123"/>
      <c r="EI7" s="123"/>
      <c r="EJ7" s="123"/>
      <c r="EK7" s="123"/>
      <c r="EL7" s="123"/>
      <c r="EM7" s="123"/>
      <c r="EN7" s="123"/>
      <c r="EO7" s="123"/>
      <c r="EP7" s="123"/>
      <c r="EQ7" s="123"/>
      <c r="ER7" s="123"/>
      <c r="ES7" s="123"/>
      <c r="ET7" s="123"/>
      <c r="EU7" s="123"/>
      <c r="EV7" s="123"/>
      <c r="EW7" s="123"/>
      <c r="EX7" s="123"/>
      <c r="EY7" s="123"/>
      <c r="EZ7" s="123"/>
      <c r="FA7" s="123"/>
      <c r="FB7" s="123"/>
      <c r="FC7" s="123"/>
      <c r="FD7" s="123"/>
      <c r="FE7" s="123"/>
      <c r="FF7" s="123"/>
      <c r="FG7" s="123"/>
      <c r="FH7" s="123"/>
      <c r="FI7" s="123"/>
      <c r="FJ7" s="123"/>
      <c r="FK7" s="123"/>
      <c r="FL7" s="123"/>
      <c r="FM7" s="123"/>
      <c r="FN7" s="123"/>
      <c r="FO7" s="123"/>
      <c r="FP7" s="123"/>
      <c r="FQ7" s="123"/>
      <c r="FR7" s="123"/>
      <c r="FS7" s="123"/>
      <c r="FT7" s="123"/>
      <c r="FU7" s="123"/>
      <c r="FV7" s="123"/>
      <c r="FW7" s="123"/>
      <c r="FX7" s="123"/>
      <c r="FY7" s="123"/>
      <c r="FZ7" s="123"/>
      <c r="GA7" s="123"/>
      <c r="GB7" s="123"/>
      <c r="GC7" s="123"/>
      <c r="GD7" s="123"/>
      <c r="GE7" s="123"/>
      <c r="GF7" s="123"/>
      <c r="GG7" s="123"/>
      <c r="GH7" s="123"/>
      <c r="GI7" s="123"/>
      <c r="GJ7" s="123"/>
      <c r="GK7" s="123"/>
      <c r="GL7" s="123"/>
      <c r="GM7" s="123"/>
      <c r="GN7" s="123"/>
      <c r="GO7" s="123"/>
      <c r="GP7" s="123"/>
      <c r="GQ7" s="123"/>
      <c r="GR7" s="123"/>
      <c r="GS7" s="123"/>
      <c r="GT7" s="123"/>
      <c r="GU7" s="123"/>
      <c r="GV7" s="123"/>
      <c r="GW7" s="123"/>
      <c r="GX7" s="123"/>
      <c r="GY7" s="123"/>
      <c r="GZ7" s="123"/>
      <c r="HA7" s="123"/>
      <c r="HB7" s="123"/>
      <c r="HC7" s="123"/>
      <c r="HD7" s="123"/>
      <c r="HE7" s="123"/>
      <c r="HF7" s="123"/>
      <c r="HG7" s="123"/>
      <c r="HH7" s="123"/>
      <c r="HI7" s="123"/>
      <c r="HJ7" s="123"/>
      <c r="HK7" s="123"/>
      <c r="HL7" s="123"/>
      <c r="HM7" s="123"/>
      <c r="HN7" s="123"/>
      <c r="HO7" s="123"/>
      <c r="HP7" s="123"/>
      <c r="HQ7" s="123"/>
      <c r="HR7" s="123"/>
      <c r="HS7" s="123"/>
      <c r="HT7" s="123"/>
      <c r="HU7" s="123"/>
      <c r="HV7" s="123"/>
      <c r="HW7" s="123"/>
      <c r="HX7" s="123"/>
      <c r="HY7" s="123"/>
      <c r="HZ7" s="123"/>
      <c r="IA7" s="123"/>
      <c r="IB7" s="123"/>
      <c r="IC7" s="123"/>
      <c r="ID7" s="123"/>
      <c r="IE7" s="123"/>
      <c r="IF7" s="123"/>
      <c r="IG7" s="123"/>
      <c r="IH7" s="123"/>
      <c r="II7" s="123"/>
      <c r="IJ7" s="123"/>
      <c r="IK7" s="123"/>
      <c r="IL7" s="123"/>
      <c r="IM7" s="123"/>
      <c r="IN7" s="123"/>
      <c r="IO7" s="123"/>
      <c r="IP7" s="123"/>
      <c r="IQ7" s="123"/>
      <c r="IR7" s="123"/>
      <c r="IS7" s="123"/>
      <c r="IT7" s="123"/>
      <c r="IU7" s="123"/>
      <c r="IV7" s="123"/>
      <c r="IW7" s="123"/>
      <c r="IX7" s="123"/>
      <c r="IY7" s="123"/>
      <c r="IZ7" s="123"/>
      <c r="JA7" s="123"/>
      <c r="JB7" s="123"/>
      <c r="JC7" s="123"/>
      <c r="JD7" s="123"/>
      <c r="JE7" s="123"/>
      <c r="JF7" s="123"/>
      <c r="JG7" s="123"/>
      <c r="JH7" s="123"/>
      <c r="JI7" s="123"/>
      <c r="JJ7" s="123"/>
      <c r="JK7" s="123"/>
      <c r="JL7" s="123"/>
      <c r="JM7" s="123"/>
      <c r="JN7" s="123"/>
      <c r="JO7" s="123"/>
      <c r="JP7" s="123"/>
      <c r="JQ7" s="123"/>
      <c r="JR7" s="123"/>
      <c r="JS7" s="123"/>
      <c r="JT7" s="123"/>
      <c r="JU7" s="123"/>
      <c r="JV7" s="123"/>
      <c r="JW7" s="123"/>
      <c r="JX7" s="123"/>
      <c r="JY7" s="123"/>
      <c r="JZ7" s="123"/>
      <c r="KA7" s="123"/>
      <c r="KB7" s="123"/>
      <c r="KC7" s="123"/>
      <c r="KD7" s="123"/>
      <c r="KE7" s="123"/>
      <c r="KF7" s="123"/>
      <c r="KG7" s="123"/>
      <c r="KH7" s="123"/>
      <c r="KI7" s="123"/>
      <c r="KJ7" s="123"/>
      <c r="KK7" s="123"/>
      <c r="KL7" s="123"/>
      <c r="KM7" s="123"/>
      <c r="KN7" s="123"/>
      <c r="KO7" s="123"/>
      <c r="KP7" s="123"/>
      <c r="KQ7" s="123"/>
      <c r="KR7" s="123"/>
      <c r="KS7" s="123"/>
      <c r="KT7" s="123"/>
      <c r="KU7" s="123"/>
      <c r="KV7" s="123"/>
      <c r="KW7" s="123"/>
      <c r="KX7" s="123"/>
      <c r="KY7" s="123"/>
      <c r="KZ7" s="123"/>
      <c r="LA7" s="123"/>
      <c r="LB7" s="123"/>
      <c r="LC7" s="123"/>
      <c r="LD7" s="123"/>
      <c r="LE7" s="123"/>
      <c r="LF7" s="123"/>
      <c r="LG7" s="123"/>
      <c r="LH7" s="123"/>
      <c r="LI7" s="123"/>
      <c r="LJ7" s="123"/>
      <c r="LK7" s="123"/>
      <c r="LL7" s="123"/>
      <c r="LM7" s="123"/>
      <c r="LN7" s="123"/>
      <c r="LO7" s="123"/>
      <c r="LP7" s="123"/>
      <c r="LQ7" s="123"/>
      <c r="LR7" s="123"/>
      <c r="LS7" s="123"/>
      <c r="LT7" s="123"/>
      <c r="LU7" s="123"/>
      <c r="LV7" s="123"/>
      <c r="LW7" s="123"/>
      <c r="LX7" s="123"/>
      <c r="LY7" s="123"/>
      <c r="LZ7" s="123"/>
      <c r="MA7" s="123"/>
      <c r="MB7" s="123"/>
      <c r="MC7" s="123"/>
      <c r="MD7" s="123"/>
      <c r="ME7" s="123"/>
      <c r="MF7" s="123"/>
      <c r="MG7" s="123"/>
      <c r="MH7" s="123"/>
      <c r="MI7" s="123"/>
      <c r="MJ7" s="123"/>
      <c r="MK7" s="123"/>
      <c r="ML7" s="123"/>
      <c r="MM7" s="123"/>
      <c r="MN7" s="123"/>
      <c r="MO7" s="123"/>
      <c r="MP7" s="123"/>
      <c r="MQ7" s="123"/>
      <c r="MR7" s="123"/>
      <c r="MS7" s="123"/>
      <c r="MT7" s="123"/>
      <c r="MU7" s="123"/>
      <c r="MV7" s="123"/>
      <c r="MW7" s="123"/>
      <c r="MX7" s="123"/>
      <c r="MY7" s="123"/>
      <c r="MZ7" s="123"/>
      <c r="NA7" s="123"/>
      <c r="NB7" s="123"/>
      <c r="NC7" s="123"/>
      <c r="ND7" s="123"/>
      <c r="NE7" s="123"/>
      <c r="NF7" s="123"/>
      <c r="NI7" s="24"/>
      <c r="NJ7" s="24"/>
      <c r="NK7" s="24"/>
      <c r="NL7" s="24"/>
      <c r="NN7" s="24"/>
      <c r="NP7" s="24"/>
    </row>
    <row r="8" spans="1:380" ht="15" customHeight="1" x14ac:dyDescent="0.25">
      <c r="B8" s="12">
        <v>705</v>
      </c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3"/>
      <c r="AT8" s="123"/>
      <c r="AU8" s="123"/>
      <c r="AV8" s="123"/>
      <c r="AW8" s="123"/>
      <c r="AX8" s="123"/>
      <c r="AY8" s="123"/>
      <c r="AZ8" s="123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3"/>
      <c r="BO8" s="123"/>
      <c r="BP8" s="123"/>
      <c r="BQ8" s="123"/>
      <c r="BR8" s="123"/>
      <c r="BS8" s="123"/>
      <c r="BT8" s="123"/>
      <c r="BU8" s="123"/>
      <c r="BV8" s="123"/>
      <c r="BW8" s="123"/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3"/>
      <c r="CJ8" s="123"/>
      <c r="CK8" s="123"/>
      <c r="CL8" s="123"/>
      <c r="CM8" s="123"/>
      <c r="CN8" s="123"/>
      <c r="CO8" s="123"/>
      <c r="CP8" s="123"/>
      <c r="CQ8" s="123"/>
      <c r="CR8" s="123"/>
      <c r="CS8" s="123"/>
      <c r="CT8" s="123"/>
      <c r="CU8" s="123"/>
      <c r="CV8" s="123"/>
      <c r="CW8" s="123"/>
      <c r="CX8" s="123"/>
      <c r="CY8" s="123"/>
      <c r="CZ8" s="123"/>
      <c r="DA8" s="123"/>
      <c r="DB8" s="123"/>
      <c r="DC8" s="123"/>
      <c r="DD8" s="123"/>
      <c r="DE8" s="123"/>
      <c r="DF8" s="123"/>
      <c r="DG8" s="123"/>
      <c r="DH8" s="123"/>
      <c r="DI8" s="123"/>
      <c r="DJ8" s="123"/>
      <c r="DK8" s="123"/>
      <c r="DL8" s="123"/>
      <c r="DM8" s="123"/>
      <c r="DN8" s="123"/>
      <c r="DO8" s="123"/>
      <c r="DP8" s="123"/>
      <c r="DQ8" s="123"/>
      <c r="DR8" s="123"/>
      <c r="DS8" s="123"/>
      <c r="DT8" s="123"/>
      <c r="DU8" s="123"/>
      <c r="DV8" s="123"/>
      <c r="DW8" s="123"/>
      <c r="DX8" s="123"/>
      <c r="DY8" s="123"/>
      <c r="DZ8" s="123"/>
      <c r="EA8" s="123"/>
      <c r="EB8" s="123"/>
      <c r="EC8" s="123"/>
      <c r="ED8" s="123"/>
      <c r="EE8" s="123"/>
      <c r="EF8" s="123"/>
      <c r="EG8" s="123"/>
      <c r="EH8" s="123"/>
      <c r="EI8" s="123"/>
      <c r="EJ8" s="123"/>
      <c r="EK8" s="123"/>
      <c r="EL8" s="123"/>
      <c r="EM8" s="123"/>
      <c r="EN8" s="123"/>
      <c r="EO8" s="123"/>
      <c r="EP8" s="123"/>
      <c r="EQ8" s="123"/>
      <c r="ER8" s="123"/>
      <c r="ES8" s="123"/>
      <c r="ET8" s="123"/>
      <c r="EU8" s="123"/>
      <c r="EV8" s="123"/>
      <c r="EW8" s="123"/>
      <c r="EX8" s="123"/>
      <c r="EY8" s="123"/>
      <c r="EZ8" s="123"/>
      <c r="FA8" s="123"/>
      <c r="FB8" s="123"/>
      <c r="FC8" s="123"/>
      <c r="FD8" s="123"/>
      <c r="FE8" s="123"/>
      <c r="FF8" s="123"/>
      <c r="FG8" s="123"/>
      <c r="FH8" s="123"/>
      <c r="FI8" s="123"/>
      <c r="FJ8" s="123"/>
      <c r="FK8" s="123"/>
      <c r="FL8" s="123"/>
      <c r="FM8" s="123"/>
      <c r="FN8" s="123"/>
      <c r="FO8" s="123"/>
      <c r="FP8" s="123"/>
      <c r="FQ8" s="123"/>
      <c r="FR8" s="123"/>
      <c r="FS8" s="123"/>
      <c r="FT8" s="123"/>
      <c r="FU8" s="123"/>
      <c r="FV8" s="123"/>
      <c r="FW8" s="123"/>
      <c r="FX8" s="123"/>
      <c r="FY8" s="123"/>
      <c r="FZ8" s="123"/>
      <c r="GA8" s="123"/>
      <c r="GB8" s="123"/>
      <c r="GC8" s="123"/>
      <c r="GD8" s="123"/>
      <c r="GE8" s="123"/>
      <c r="GF8" s="123"/>
      <c r="GG8" s="123"/>
      <c r="GH8" s="123"/>
      <c r="GI8" s="123"/>
      <c r="GJ8" s="123"/>
      <c r="GK8" s="123"/>
      <c r="GL8" s="123"/>
      <c r="GM8" s="123"/>
      <c r="GN8" s="123"/>
      <c r="GO8" s="123"/>
      <c r="GP8" s="123"/>
      <c r="GQ8" s="123"/>
      <c r="GR8" s="123"/>
      <c r="GS8" s="123"/>
      <c r="GT8" s="123"/>
      <c r="GU8" s="123"/>
      <c r="GV8" s="123"/>
      <c r="GW8" s="123"/>
      <c r="GX8" s="123"/>
      <c r="GY8" s="123"/>
      <c r="GZ8" s="123"/>
      <c r="HA8" s="123"/>
      <c r="HB8" s="123"/>
      <c r="HC8" s="123"/>
      <c r="HD8" s="123"/>
      <c r="HE8" s="123"/>
      <c r="HF8" s="123"/>
      <c r="HG8" s="123"/>
      <c r="HH8" s="123"/>
      <c r="HI8" s="123"/>
      <c r="HJ8" s="123"/>
      <c r="HK8" s="123"/>
      <c r="HL8" s="123"/>
      <c r="HM8" s="123"/>
      <c r="HN8" s="123"/>
      <c r="HO8" s="123"/>
      <c r="HP8" s="123"/>
      <c r="HQ8" s="123"/>
      <c r="HR8" s="123"/>
      <c r="HS8" s="123"/>
      <c r="HT8" s="123"/>
      <c r="HU8" s="123"/>
      <c r="HV8" s="123"/>
      <c r="HW8" s="123"/>
      <c r="HX8" s="123"/>
      <c r="HY8" s="123"/>
      <c r="HZ8" s="123"/>
      <c r="IA8" s="123"/>
      <c r="IB8" s="123"/>
      <c r="IC8" s="123"/>
      <c r="ID8" s="123"/>
      <c r="IE8" s="123"/>
      <c r="IF8" s="123"/>
      <c r="IG8" s="123"/>
      <c r="IH8" s="123"/>
      <c r="II8" s="123"/>
      <c r="IJ8" s="123"/>
      <c r="IK8" s="123"/>
      <c r="IL8" s="123"/>
      <c r="IM8" s="123"/>
      <c r="IN8" s="123"/>
      <c r="IO8" s="123"/>
      <c r="IP8" s="123"/>
      <c r="IQ8" s="123"/>
      <c r="IR8" s="123"/>
      <c r="IS8" s="123"/>
      <c r="IT8" s="123"/>
      <c r="IU8" s="123"/>
      <c r="IV8" s="123"/>
      <c r="IW8" s="123"/>
      <c r="IX8" s="123"/>
      <c r="IY8" s="123"/>
      <c r="IZ8" s="123"/>
      <c r="JA8" s="123"/>
      <c r="JB8" s="123"/>
      <c r="JC8" s="123"/>
      <c r="JD8" s="123"/>
      <c r="JE8" s="123"/>
      <c r="JF8" s="123"/>
      <c r="JG8" s="123"/>
      <c r="JH8" s="123"/>
      <c r="JI8" s="123"/>
      <c r="JJ8" s="123"/>
      <c r="JK8" s="123"/>
      <c r="JL8" s="123"/>
      <c r="JM8" s="123"/>
      <c r="JN8" s="123"/>
      <c r="JO8" s="123"/>
      <c r="JP8" s="123"/>
      <c r="JQ8" s="123"/>
      <c r="JR8" s="123"/>
      <c r="JS8" s="123"/>
      <c r="JT8" s="123"/>
      <c r="JU8" s="123"/>
      <c r="JV8" s="123"/>
      <c r="JW8" s="123"/>
      <c r="JX8" s="123"/>
      <c r="JY8" s="123"/>
      <c r="JZ8" s="123"/>
      <c r="KA8" s="123"/>
      <c r="KB8" s="123"/>
      <c r="KC8" s="123"/>
      <c r="KD8" s="123"/>
      <c r="KE8" s="123"/>
      <c r="KF8" s="123"/>
      <c r="KG8" s="123"/>
      <c r="KH8" s="123"/>
      <c r="KI8" s="123"/>
      <c r="KJ8" s="123"/>
      <c r="KK8" s="123"/>
      <c r="KL8" s="123"/>
      <c r="KM8" s="123"/>
      <c r="KN8" s="123"/>
      <c r="KO8" s="123"/>
      <c r="KP8" s="123"/>
      <c r="KQ8" s="123"/>
      <c r="KR8" s="123"/>
      <c r="KS8" s="123"/>
      <c r="KT8" s="123"/>
      <c r="KU8" s="123"/>
      <c r="KV8" s="123"/>
      <c r="KW8" s="123"/>
      <c r="KX8" s="123"/>
      <c r="KY8" s="123"/>
      <c r="KZ8" s="123"/>
      <c r="LA8" s="123"/>
      <c r="LB8" s="123"/>
      <c r="LC8" s="123"/>
      <c r="LD8" s="123"/>
      <c r="LE8" s="123"/>
      <c r="LF8" s="123"/>
      <c r="LG8" s="123"/>
      <c r="LH8" s="123"/>
      <c r="LI8" s="123"/>
      <c r="LJ8" s="123"/>
      <c r="LK8" s="123"/>
      <c r="LL8" s="123"/>
      <c r="LM8" s="123"/>
      <c r="LN8" s="123"/>
      <c r="LO8" s="123"/>
      <c r="LP8" s="123"/>
      <c r="LQ8" s="123"/>
      <c r="LR8" s="123"/>
      <c r="LS8" s="123"/>
      <c r="LT8" s="123"/>
      <c r="LU8" s="123"/>
      <c r="LV8" s="123"/>
      <c r="LW8" s="123"/>
      <c r="LX8" s="123"/>
      <c r="LY8" s="123"/>
      <c r="LZ8" s="123"/>
      <c r="MA8" s="123"/>
      <c r="MB8" s="123"/>
      <c r="MC8" s="123"/>
      <c r="MD8" s="123"/>
      <c r="ME8" s="123"/>
      <c r="MF8" s="123"/>
      <c r="MG8" s="123"/>
      <c r="MH8" s="123"/>
      <c r="MI8" s="123"/>
      <c r="MJ8" s="123"/>
      <c r="MK8" s="123"/>
      <c r="ML8" s="123"/>
      <c r="MM8" s="123"/>
      <c r="MN8" s="123"/>
      <c r="MO8" s="123"/>
      <c r="MP8" s="123"/>
      <c r="MQ8" s="123"/>
      <c r="MR8" s="123"/>
      <c r="MS8" s="123"/>
      <c r="MT8" s="123"/>
      <c r="MU8" s="123"/>
      <c r="MV8" s="123"/>
      <c r="MW8" s="123"/>
      <c r="MX8" s="123"/>
      <c r="MY8" s="123"/>
      <c r="MZ8" s="123"/>
      <c r="NA8" s="123"/>
      <c r="NB8" s="123"/>
      <c r="NC8" s="123"/>
      <c r="ND8" s="123"/>
      <c r="NE8" s="123"/>
      <c r="NF8" s="123"/>
      <c r="NI8" s="24"/>
      <c r="NJ8" s="24"/>
      <c r="NK8" s="24"/>
      <c r="NL8" s="24"/>
      <c r="NN8" s="24"/>
      <c r="NO8" s="24"/>
      <c r="NP8" s="24"/>
    </row>
    <row r="9" spans="1:380" ht="15.75" x14ac:dyDescent="0.25">
      <c r="B9" s="12">
        <v>706</v>
      </c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  <c r="BW9" s="123"/>
      <c r="BX9" s="123"/>
      <c r="BY9" s="123"/>
      <c r="BZ9" s="123"/>
      <c r="CA9" s="123"/>
      <c r="CB9" s="123"/>
      <c r="CC9" s="123"/>
      <c r="CD9" s="123"/>
      <c r="CE9" s="123"/>
      <c r="CF9" s="123"/>
      <c r="CG9" s="123"/>
      <c r="CH9" s="123"/>
      <c r="CI9" s="123"/>
      <c r="CJ9" s="123"/>
      <c r="CK9" s="123"/>
      <c r="CL9" s="123"/>
      <c r="CM9" s="123"/>
      <c r="CN9" s="123"/>
      <c r="CO9" s="123"/>
      <c r="CP9" s="123"/>
      <c r="CQ9" s="123"/>
      <c r="CR9" s="123"/>
      <c r="CS9" s="123"/>
      <c r="CT9" s="123"/>
      <c r="CU9" s="123"/>
      <c r="CV9" s="123"/>
      <c r="CW9" s="123"/>
      <c r="CX9" s="123"/>
      <c r="CY9" s="123"/>
      <c r="CZ9" s="123"/>
      <c r="DA9" s="123"/>
      <c r="DB9" s="123"/>
      <c r="DC9" s="123"/>
      <c r="DD9" s="123"/>
      <c r="DE9" s="123"/>
      <c r="DF9" s="123"/>
      <c r="DG9" s="123"/>
      <c r="DH9" s="123"/>
      <c r="DI9" s="123"/>
      <c r="DJ9" s="123"/>
      <c r="DK9" s="123"/>
      <c r="DL9" s="123"/>
      <c r="DM9" s="123"/>
      <c r="DN9" s="123"/>
      <c r="DO9" s="123"/>
      <c r="DP9" s="123"/>
      <c r="DQ9" s="123"/>
      <c r="DR9" s="123"/>
      <c r="DS9" s="123"/>
      <c r="DT9" s="123"/>
      <c r="DU9" s="123"/>
      <c r="DV9" s="123"/>
      <c r="DW9" s="123"/>
      <c r="DX9" s="123"/>
      <c r="DY9" s="123"/>
      <c r="DZ9" s="123"/>
      <c r="EA9" s="123"/>
      <c r="EB9" s="123"/>
      <c r="EC9" s="123"/>
      <c r="ED9" s="123"/>
      <c r="EE9" s="123"/>
      <c r="EF9" s="123"/>
      <c r="EG9" s="123"/>
      <c r="EH9" s="123"/>
      <c r="EI9" s="123"/>
      <c r="EJ9" s="123"/>
      <c r="EK9" s="123"/>
      <c r="EL9" s="123"/>
      <c r="EM9" s="123"/>
      <c r="EN9" s="123"/>
      <c r="EO9" s="123"/>
      <c r="EP9" s="123"/>
      <c r="EQ9" s="123"/>
      <c r="ER9" s="123"/>
      <c r="ES9" s="123"/>
      <c r="ET9" s="123"/>
      <c r="EU9" s="123"/>
      <c r="EV9" s="123"/>
      <c r="EW9" s="123"/>
      <c r="EX9" s="123"/>
      <c r="EY9" s="123"/>
      <c r="EZ9" s="123"/>
      <c r="FA9" s="123"/>
      <c r="FB9" s="123"/>
      <c r="FC9" s="123"/>
      <c r="FD9" s="123"/>
      <c r="FE9" s="123"/>
      <c r="FF9" s="123"/>
      <c r="FG9" s="123"/>
      <c r="FH9" s="123"/>
      <c r="FI9" s="123"/>
      <c r="FJ9" s="123"/>
      <c r="FK9" s="123"/>
      <c r="FL9" s="123"/>
      <c r="FM9" s="123"/>
      <c r="FN9" s="123"/>
      <c r="FO9" s="123"/>
      <c r="FP9" s="123"/>
      <c r="FQ9" s="123"/>
      <c r="FR9" s="123"/>
      <c r="FS9" s="123"/>
      <c r="FT9" s="123"/>
      <c r="FU9" s="123"/>
      <c r="FV9" s="123"/>
      <c r="FW9" s="123"/>
      <c r="FX9" s="123"/>
      <c r="FY9" s="123"/>
      <c r="FZ9" s="123"/>
      <c r="GA9" s="123"/>
      <c r="GB9" s="123"/>
      <c r="GC9" s="123"/>
      <c r="GD9" s="123"/>
      <c r="GE9" s="123"/>
      <c r="GF9" s="123"/>
      <c r="GG9" s="123"/>
      <c r="GH9" s="123"/>
      <c r="GI9" s="123"/>
      <c r="GJ9" s="123"/>
      <c r="GK9" s="123"/>
      <c r="GL9" s="123"/>
      <c r="GM9" s="123"/>
      <c r="GN9" s="123"/>
      <c r="GO9" s="123"/>
      <c r="GP9" s="123"/>
      <c r="GQ9" s="123"/>
      <c r="GR9" s="123"/>
      <c r="GS9" s="123"/>
      <c r="GT9" s="123"/>
      <c r="GU9" s="123"/>
      <c r="GV9" s="123"/>
      <c r="GW9" s="123"/>
      <c r="GX9" s="123"/>
      <c r="GY9" s="123"/>
      <c r="GZ9" s="123"/>
      <c r="HA9" s="123"/>
      <c r="HB9" s="123"/>
      <c r="HC9" s="123"/>
      <c r="HD9" s="123"/>
      <c r="HE9" s="123"/>
      <c r="HF9" s="123"/>
      <c r="HG9" s="123"/>
      <c r="HH9" s="123"/>
      <c r="HI9" s="123"/>
      <c r="HJ9" s="123"/>
      <c r="HK9" s="123"/>
      <c r="HL9" s="123"/>
      <c r="HM9" s="123"/>
      <c r="HN9" s="123"/>
      <c r="HO9" s="123"/>
      <c r="HP9" s="123"/>
      <c r="HQ9" s="123"/>
      <c r="HR9" s="123"/>
      <c r="HS9" s="123"/>
      <c r="HT9" s="123"/>
      <c r="HU9" s="123"/>
      <c r="HV9" s="123"/>
      <c r="HW9" s="123"/>
      <c r="HX9" s="123"/>
      <c r="HY9" s="123"/>
      <c r="HZ9" s="123"/>
      <c r="IA9" s="123"/>
      <c r="IB9" s="123"/>
      <c r="IC9" s="123"/>
      <c r="ID9" s="123"/>
      <c r="IE9" s="123"/>
      <c r="IF9" s="123"/>
      <c r="IG9" s="123"/>
      <c r="IH9" s="123"/>
      <c r="II9" s="123"/>
      <c r="IJ9" s="123"/>
      <c r="IK9" s="123"/>
      <c r="IL9" s="123"/>
      <c r="IM9" s="123"/>
      <c r="IN9" s="123"/>
      <c r="IO9" s="123"/>
      <c r="IP9" s="123"/>
      <c r="IQ9" s="123"/>
      <c r="IR9" s="123"/>
      <c r="IS9" s="123"/>
      <c r="IT9" s="123"/>
      <c r="IU9" s="123"/>
      <c r="IV9" s="123"/>
      <c r="IW9" s="123"/>
      <c r="IX9" s="123"/>
      <c r="IY9" s="123"/>
      <c r="IZ9" s="123"/>
      <c r="JA9" s="123"/>
      <c r="JB9" s="123"/>
      <c r="JC9" s="123"/>
      <c r="JD9" s="123"/>
      <c r="JE9" s="123"/>
      <c r="JF9" s="123"/>
      <c r="JG9" s="123"/>
      <c r="JH9" s="123"/>
      <c r="JI9" s="123"/>
      <c r="JJ9" s="123"/>
      <c r="JK9" s="123"/>
      <c r="JL9" s="123"/>
      <c r="JM9" s="123"/>
      <c r="JN9" s="123"/>
      <c r="JO9" s="123"/>
      <c r="JP9" s="123"/>
      <c r="JQ9" s="123"/>
      <c r="JR9" s="123"/>
      <c r="JS9" s="123"/>
      <c r="JT9" s="123"/>
      <c r="JU9" s="123"/>
      <c r="JV9" s="123"/>
      <c r="JW9" s="123"/>
      <c r="JX9" s="123"/>
      <c r="JY9" s="123"/>
      <c r="JZ9" s="123"/>
      <c r="KA9" s="123"/>
      <c r="KB9" s="123"/>
      <c r="KC9" s="123"/>
      <c r="KD9" s="123"/>
      <c r="KE9" s="123"/>
      <c r="KF9" s="123"/>
      <c r="KG9" s="123"/>
      <c r="KH9" s="123"/>
      <c r="KI9" s="123"/>
      <c r="KJ9" s="123"/>
      <c r="KK9" s="123"/>
      <c r="KL9" s="123"/>
      <c r="KM9" s="123"/>
      <c r="KN9" s="123"/>
      <c r="KO9" s="123"/>
      <c r="KP9" s="123"/>
      <c r="KQ9" s="123"/>
      <c r="KR9" s="123"/>
      <c r="KS9" s="123"/>
      <c r="KT9" s="123"/>
      <c r="KU9" s="123"/>
      <c r="KV9" s="123"/>
      <c r="KW9" s="123"/>
      <c r="KX9" s="123"/>
      <c r="KY9" s="123"/>
      <c r="KZ9" s="123"/>
      <c r="LA9" s="123"/>
      <c r="LB9" s="123"/>
      <c r="LC9" s="123"/>
      <c r="LD9" s="123"/>
      <c r="LE9" s="123"/>
      <c r="LF9" s="123"/>
      <c r="LG9" s="123"/>
      <c r="LH9" s="123"/>
      <c r="LI9" s="123"/>
      <c r="LJ9" s="123"/>
      <c r="LK9" s="123"/>
      <c r="LL9" s="123"/>
      <c r="LM9" s="123"/>
      <c r="LN9" s="123"/>
      <c r="LO9" s="123"/>
      <c r="LP9" s="123"/>
      <c r="LQ9" s="123"/>
      <c r="LR9" s="123"/>
      <c r="LS9" s="123"/>
      <c r="LT9" s="123"/>
      <c r="LU9" s="123"/>
      <c r="LV9" s="123"/>
      <c r="LW9" s="123"/>
      <c r="LX9" s="123"/>
      <c r="LY9" s="123"/>
      <c r="LZ9" s="123"/>
      <c r="MA9" s="123"/>
      <c r="MB9" s="123"/>
      <c r="MC9" s="123"/>
      <c r="MD9" s="123"/>
      <c r="ME9" s="123"/>
      <c r="MF9" s="123"/>
      <c r="MG9" s="123"/>
      <c r="MH9" s="123"/>
      <c r="MI9" s="123"/>
      <c r="MJ9" s="123"/>
      <c r="MK9" s="123"/>
      <c r="ML9" s="123"/>
      <c r="MM9" s="123"/>
      <c r="MN9" s="123"/>
      <c r="MO9" s="123"/>
      <c r="MP9" s="123"/>
      <c r="MQ9" s="123"/>
      <c r="MR9" s="123"/>
      <c r="MS9" s="123"/>
      <c r="MT9" s="123"/>
      <c r="MU9" s="123"/>
      <c r="MV9" s="123"/>
      <c r="MW9" s="123"/>
      <c r="MX9" s="123"/>
      <c r="MY9" s="123"/>
      <c r="MZ9" s="123"/>
      <c r="NA9" s="123"/>
      <c r="NB9" s="123"/>
      <c r="NC9" s="123"/>
      <c r="ND9" s="123"/>
      <c r="NE9" s="123"/>
      <c r="NF9" s="123"/>
      <c r="NI9" s="24"/>
      <c r="NJ9" s="24"/>
      <c r="NK9" s="24"/>
      <c r="NL9" s="24"/>
      <c r="NM9" s="24"/>
      <c r="NN9" s="24"/>
      <c r="NO9" s="24"/>
      <c r="NP9" s="24"/>
    </row>
    <row r="10" spans="1:380" ht="15.75" x14ac:dyDescent="0.25">
      <c r="B10" s="12">
        <v>707</v>
      </c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  <c r="AS10" s="123"/>
      <c r="AT10" s="123"/>
      <c r="AU10" s="123"/>
      <c r="AV10" s="123"/>
      <c r="AW10" s="123"/>
      <c r="AX10" s="123"/>
      <c r="AY10" s="123"/>
      <c r="AZ10" s="123"/>
      <c r="BA10" s="123"/>
      <c r="BB10" s="123"/>
      <c r="BC10" s="123"/>
      <c r="BD10" s="123"/>
      <c r="BE10" s="123"/>
      <c r="BF10" s="123"/>
      <c r="BG10" s="123"/>
      <c r="BH10" s="123"/>
      <c r="BI10" s="123"/>
      <c r="BJ10" s="123"/>
      <c r="BK10" s="123"/>
      <c r="BL10" s="123"/>
      <c r="BM10" s="123"/>
      <c r="BN10" s="123"/>
      <c r="BO10" s="123"/>
      <c r="BP10" s="123"/>
      <c r="BQ10" s="123"/>
      <c r="BR10" s="123"/>
      <c r="BS10" s="123"/>
      <c r="BT10" s="123"/>
      <c r="BU10" s="123"/>
      <c r="BV10" s="123"/>
      <c r="BW10" s="123"/>
      <c r="BX10" s="123"/>
      <c r="BY10" s="123"/>
      <c r="BZ10" s="123"/>
      <c r="CA10" s="123"/>
      <c r="CB10" s="123"/>
      <c r="CC10" s="123"/>
      <c r="CD10" s="123"/>
      <c r="CE10" s="123"/>
      <c r="CF10" s="123"/>
      <c r="CG10" s="123"/>
      <c r="CH10" s="123"/>
      <c r="CI10" s="123"/>
      <c r="CJ10" s="123"/>
      <c r="CK10" s="123"/>
      <c r="CL10" s="123"/>
      <c r="CM10" s="123"/>
      <c r="CN10" s="123"/>
      <c r="CO10" s="123"/>
      <c r="CP10" s="123"/>
      <c r="CQ10" s="123"/>
      <c r="CR10" s="123"/>
      <c r="CS10" s="123"/>
      <c r="CT10" s="123"/>
      <c r="CU10" s="123"/>
      <c r="CV10" s="123"/>
      <c r="CW10" s="123"/>
      <c r="CX10" s="123"/>
      <c r="CY10" s="123"/>
      <c r="CZ10" s="123"/>
      <c r="DA10" s="123"/>
      <c r="DB10" s="123"/>
      <c r="DC10" s="123"/>
      <c r="DD10" s="123"/>
      <c r="DE10" s="123"/>
      <c r="DF10" s="123"/>
      <c r="DG10" s="123"/>
      <c r="DH10" s="123"/>
      <c r="DI10" s="123"/>
      <c r="DJ10" s="123"/>
      <c r="DK10" s="123"/>
      <c r="DL10" s="123"/>
      <c r="DM10" s="123"/>
      <c r="DN10" s="123"/>
      <c r="DO10" s="123"/>
      <c r="DP10" s="123"/>
      <c r="DQ10" s="123"/>
      <c r="DR10" s="123"/>
      <c r="DS10" s="123"/>
      <c r="DT10" s="123"/>
      <c r="DU10" s="123"/>
      <c r="DV10" s="123"/>
      <c r="DW10" s="123"/>
      <c r="DX10" s="123"/>
      <c r="DY10" s="123"/>
      <c r="DZ10" s="123"/>
      <c r="EA10" s="123"/>
      <c r="EB10" s="123"/>
      <c r="EC10" s="123"/>
      <c r="ED10" s="123"/>
      <c r="EE10" s="123"/>
      <c r="EF10" s="123"/>
      <c r="EG10" s="123"/>
      <c r="EH10" s="123"/>
      <c r="EI10" s="123"/>
      <c r="EJ10" s="123"/>
      <c r="EK10" s="123"/>
      <c r="EL10" s="123"/>
      <c r="EM10" s="123"/>
      <c r="EN10" s="123"/>
      <c r="EO10" s="123"/>
      <c r="EP10" s="123"/>
      <c r="EQ10" s="123"/>
      <c r="ER10" s="123"/>
      <c r="ES10" s="123"/>
      <c r="ET10" s="123"/>
      <c r="EU10" s="123"/>
      <c r="EV10" s="123"/>
      <c r="EW10" s="123"/>
      <c r="EX10" s="123"/>
      <c r="EY10" s="123"/>
      <c r="EZ10" s="123"/>
      <c r="FA10" s="123"/>
      <c r="FB10" s="123"/>
      <c r="FC10" s="123"/>
      <c r="FD10" s="123"/>
      <c r="FE10" s="123"/>
      <c r="FF10" s="123"/>
      <c r="FG10" s="123"/>
      <c r="FH10" s="123"/>
      <c r="FI10" s="123"/>
      <c r="FJ10" s="123"/>
      <c r="FK10" s="123"/>
      <c r="FL10" s="123"/>
      <c r="FM10" s="123"/>
      <c r="FN10" s="123"/>
      <c r="FO10" s="123"/>
      <c r="FP10" s="123"/>
      <c r="FQ10" s="123"/>
      <c r="FR10" s="123"/>
      <c r="FS10" s="123"/>
      <c r="FT10" s="123"/>
      <c r="FU10" s="123"/>
      <c r="FV10" s="123"/>
      <c r="FW10" s="123"/>
      <c r="FX10" s="123"/>
      <c r="FY10" s="123"/>
      <c r="FZ10" s="123"/>
      <c r="GA10" s="123"/>
      <c r="GB10" s="123"/>
      <c r="GC10" s="123"/>
      <c r="GD10" s="123"/>
      <c r="GE10" s="123"/>
      <c r="GF10" s="123"/>
      <c r="GG10" s="123"/>
      <c r="GH10" s="123"/>
      <c r="GI10" s="123"/>
      <c r="GJ10" s="123"/>
      <c r="GK10" s="123"/>
      <c r="GL10" s="123"/>
      <c r="GM10" s="123"/>
      <c r="GN10" s="123"/>
      <c r="GO10" s="123"/>
      <c r="GP10" s="123"/>
      <c r="GQ10" s="123"/>
      <c r="GR10" s="123"/>
      <c r="GS10" s="123"/>
      <c r="GT10" s="123"/>
      <c r="GU10" s="123"/>
      <c r="GV10" s="123"/>
      <c r="GW10" s="123"/>
      <c r="GX10" s="123"/>
      <c r="GY10" s="123"/>
      <c r="GZ10" s="123"/>
      <c r="HA10" s="123"/>
      <c r="HB10" s="123"/>
      <c r="HC10" s="123"/>
      <c r="HD10" s="123"/>
      <c r="HE10" s="123"/>
      <c r="HF10" s="123"/>
      <c r="HG10" s="123"/>
      <c r="HH10" s="123"/>
      <c r="HI10" s="123"/>
      <c r="HJ10" s="123"/>
      <c r="HK10" s="123"/>
      <c r="HL10" s="123"/>
      <c r="HM10" s="123"/>
      <c r="HN10" s="123"/>
      <c r="HO10" s="123"/>
      <c r="HP10" s="123"/>
      <c r="HQ10" s="123"/>
      <c r="HR10" s="123"/>
      <c r="HS10" s="123"/>
      <c r="HT10" s="123"/>
      <c r="HU10" s="123"/>
      <c r="HV10" s="123"/>
      <c r="HW10" s="123"/>
      <c r="HX10" s="123"/>
      <c r="HY10" s="123"/>
      <c r="HZ10" s="123"/>
      <c r="IA10" s="123"/>
      <c r="IB10" s="123"/>
      <c r="IC10" s="123"/>
      <c r="ID10" s="123"/>
      <c r="IE10" s="123"/>
      <c r="IF10" s="123"/>
      <c r="IG10" s="123"/>
      <c r="IH10" s="123"/>
      <c r="II10" s="123"/>
      <c r="IJ10" s="123"/>
      <c r="IK10" s="123"/>
      <c r="IL10" s="123"/>
      <c r="IM10" s="123"/>
      <c r="IN10" s="123"/>
      <c r="IO10" s="123"/>
      <c r="IP10" s="123"/>
      <c r="IQ10" s="123"/>
      <c r="IR10" s="123"/>
      <c r="IS10" s="123"/>
      <c r="IT10" s="123"/>
      <c r="IU10" s="123"/>
      <c r="IV10" s="123"/>
      <c r="IW10" s="123"/>
      <c r="IX10" s="123"/>
      <c r="IY10" s="123"/>
      <c r="IZ10" s="123"/>
      <c r="JA10" s="123"/>
      <c r="JB10" s="123"/>
      <c r="JC10" s="123"/>
      <c r="JD10" s="123"/>
      <c r="JE10" s="123"/>
      <c r="JF10" s="123"/>
      <c r="JG10" s="123"/>
      <c r="JH10" s="123"/>
      <c r="JI10" s="123"/>
      <c r="JJ10" s="123"/>
      <c r="JK10" s="123"/>
      <c r="JL10" s="123"/>
      <c r="JM10" s="123"/>
      <c r="JN10" s="123"/>
      <c r="JO10" s="123"/>
      <c r="JP10" s="123"/>
      <c r="JQ10" s="123"/>
      <c r="JR10" s="123"/>
      <c r="JS10" s="123"/>
      <c r="JT10" s="123"/>
      <c r="JU10" s="123"/>
      <c r="JV10" s="123"/>
      <c r="JW10" s="123"/>
      <c r="JX10" s="123"/>
      <c r="JY10" s="123"/>
      <c r="JZ10" s="123"/>
      <c r="KA10" s="123"/>
      <c r="KB10" s="123"/>
      <c r="KC10" s="123"/>
      <c r="KD10" s="123"/>
      <c r="KE10" s="123"/>
      <c r="KF10" s="123"/>
      <c r="KG10" s="123"/>
      <c r="KH10" s="123"/>
      <c r="KI10" s="123"/>
      <c r="KJ10" s="123"/>
      <c r="KK10" s="123"/>
      <c r="KL10" s="123"/>
      <c r="KM10" s="123"/>
      <c r="KN10" s="123"/>
      <c r="KO10" s="123"/>
      <c r="KP10" s="123"/>
      <c r="KQ10" s="123"/>
      <c r="KR10" s="123"/>
      <c r="KS10" s="123"/>
      <c r="KT10" s="123"/>
      <c r="KU10" s="123"/>
      <c r="KV10" s="123"/>
      <c r="KW10" s="123"/>
      <c r="KX10" s="123"/>
      <c r="KY10" s="123"/>
      <c r="KZ10" s="123"/>
      <c r="LA10" s="123"/>
      <c r="LB10" s="123"/>
      <c r="LC10" s="123"/>
      <c r="LD10" s="123"/>
      <c r="LE10" s="123"/>
      <c r="LF10" s="123"/>
      <c r="LG10" s="123"/>
      <c r="LH10" s="123"/>
      <c r="LI10" s="123"/>
      <c r="LJ10" s="123"/>
      <c r="LK10" s="123"/>
      <c r="LL10" s="123"/>
      <c r="LM10" s="123"/>
      <c r="LN10" s="123"/>
      <c r="LO10" s="123"/>
      <c r="LP10" s="123"/>
      <c r="LQ10" s="123"/>
      <c r="LR10" s="123"/>
      <c r="LS10" s="123"/>
      <c r="LT10" s="123"/>
      <c r="LU10" s="123"/>
      <c r="LV10" s="123"/>
      <c r="LW10" s="123"/>
      <c r="LX10" s="123"/>
      <c r="LY10" s="123"/>
      <c r="LZ10" s="123"/>
      <c r="MA10" s="123"/>
      <c r="MB10" s="123"/>
      <c r="MC10" s="123"/>
      <c r="MD10" s="123"/>
      <c r="ME10" s="123"/>
      <c r="MF10" s="123"/>
      <c r="MG10" s="123"/>
      <c r="MH10" s="123"/>
      <c r="MI10" s="123"/>
      <c r="MJ10" s="123"/>
      <c r="MK10" s="123"/>
      <c r="ML10" s="123"/>
      <c r="MM10" s="123"/>
      <c r="MN10" s="123"/>
      <c r="MO10" s="123"/>
      <c r="MP10" s="123"/>
      <c r="MQ10" s="123"/>
      <c r="MR10" s="123"/>
      <c r="MS10" s="123"/>
      <c r="MT10" s="123"/>
      <c r="MU10" s="123"/>
      <c r="MV10" s="123"/>
      <c r="MW10" s="123"/>
      <c r="MX10" s="123"/>
      <c r="MY10" s="123"/>
      <c r="MZ10" s="123"/>
      <c r="NA10" s="123"/>
      <c r="NB10" s="123"/>
      <c r="NC10" s="123"/>
      <c r="ND10" s="123"/>
      <c r="NE10" s="123"/>
      <c r="NF10" s="123"/>
      <c r="NI10" s="24"/>
      <c r="NJ10" s="24"/>
      <c r="NK10" s="24"/>
      <c r="NM10" s="24"/>
      <c r="NN10" s="24"/>
      <c r="NO10" s="24"/>
      <c r="NP10" s="24"/>
    </row>
    <row r="11" spans="1:380" ht="15.75" x14ac:dyDescent="0.25">
      <c r="B11" s="12">
        <v>708</v>
      </c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  <c r="BI11" s="123"/>
      <c r="BJ11" s="123"/>
      <c r="BK11" s="123"/>
      <c r="BL11" s="123"/>
      <c r="BM11" s="123"/>
      <c r="BN11" s="123"/>
      <c r="BO11" s="123"/>
      <c r="BP11" s="123"/>
      <c r="BQ11" s="123"/>
      <c r="BR11" s="123"/>
      <c r="BS11" s="123"/>
      <c r="BT11" s="123"/>
      <c r="BU11" s="123"/>
      <c r="BV11" s="123"/>
      <c r="BW11" s="123"/>
      <c r="BX11" s="123"/>
      <c r="BY11" s="123"/>
      <c r="BZ11" s="123"/>
      <c r="CA11" s="123"/>
      <c r="CB11" s="123"/>
      <c r="CC11" s="123"/>
      <c r="CD11" s="123"/>
      <c r="CE11" s="123"/>
      <c r="CF11" s="123"/>
      <c r="CG11" s="123"/>
      <c r="CH11" s="123"/>
      <c r="CI11" s="123"/>
      <c r="CJ11" s="123"/>
      <c r="CK11" s="123"/>
      <c r="CL11" s="123"/>
      <c r="CM11" s="123"/>
      <c r="CN11" s="123"/>
      <c r="CO11" s="123"/>
      <c r="CP11" s="123"/>
      <c r="CQ11" s="123"/>
      <c r="CR11" s="123"/>
      <c r="CS11" s="123"/>
      <c r="CT11" s="123"/>
      <c r="CU11" s="123"/>
      <c r="CV11" s="123"/>
      <c r="CW11" s="123"/>
      <c r="CX11" s="123"/>
      <c r="CY11" s="123"/>
      <c r="CZ11" s="123"/>
      <c r="DA11" s="123"/>
      <c r="DB11" s="123"/>
      <c r="DC11" s="123"/>
      <c r="DD11" s="123"/>
      <c r="DE11" s="123"/>
      <c r="DF11" s="123"/>
      <c r="DG11" s="123"/>
      <c r="DH11" s="123"/>
      <c r="DI11" s="123"/>
      <c r="DJ11" s="123"/>
      <c r="DK11" s="123"/>
      <c r="DL11" s="123"/>
      <c r="DM11" s="123"/>
      <c r="DN11" s="123"/>
      <c r="DO11" s="123"/>
      <c r="DP11" s="123"/>
      <c r="DQ11" s="123"/>
      <c r="DR11" s="123"/>
      <c r="DS11" s="123"/>
      <c r="DT11" s="123"/>
      <c r="DU11" s="123"/>
      <c r="DV11" s="123"/>
      <c r="DW11" s="123"/>
      <c r="DX11" s="123"/>
      <c r="DY11" s="123"/>
      <c r="DZ11" s="123"/>
      <c r="EA11" s="123"/>
      <c r="EB11" s="123"/>
      <c r="EC11" s="123"/>
      <c r="ED11" s="123"/>
      <c r="EE11" s="123"/>
      <c r="EF11" s="123"/>
      <c r="EG11" s="123"/>
      <c r="EH11" s="123"/>
      <c r="EI11" s="123"/>
      <c r="EJ11" s="123"/>
      <c r="EK11" s="123"/>
      <c r="EL11" s="123"/>
      <c r="EM11" s="123"/>
      <c r="EN11" s="123"/>
      <c r="EO11" s="123"/>
      <c r="EP11" s="123"/>
      <c r="EQ11" s="123"/>
      <c r="ER11" s="123"/>
      <c r="ES11" s="123"/>
      <c r="ET11" s="123"/>
      <c r="EU11" s="123"/>
      <c r="EV11" s="123"/>
      <c r="EW11" s="123"/>
      <c r="EX11" s="123"/>
      <c r="EY11" s="123"/>
      <c r="EZ11" s="123"/>
      <c r="FA11" s="123"/>
      <c r="FB11" s="123"/>
      <c r="FC11" s="123"/>
      <c r="FD11" s="123"/>
      <c r="FE11" s="123"/>
      <c r="FF11" s="123"/>
      <c r="FG11" s="123"/>
      <c r="FH11" s="123"/>
      <c r="FI11" s="123"/>
      <c r="FJ11" s="123"/>
      <c r="FK11" s="123"/>
      <c r="FL11" s="123"/>
      <c r="FM11" s="123"/>
      <c r="FN11" s="123"/>
      <c r="FO11" s="123"/>
      <c r="FP11" s="123"/>
      <c r="FQ11" s="123"/>
      <c r="FR11" s="123"/>
      <c r="FS11" s="123"/>
      <c r="FT11" s="123"/>
      <c r="FU11" s="123"/>
      <c r="FV11" s="123"/>
      <c r="FW11" s="123"/>
      <c r="FX11" s="123"/>
      <c r="FY11" s="123"/>
      <c r="FZ11" s="123"/>
      <c r="GA11" s="123"/>
      <c r="GB11" s="123"/>
      <c r="GC11" s="123"/>
      <c r="GD11" s="123"/>
      <c r="GE11" s="123"/>
      <c r="GF11" s="123"/>
      <c r="GG11" s="123"/>
      <c r="GH11" s="123"/>
      <c r="GI11" s="123"/>
      <c r="GJ11" s="123"/>
      <c r="GK11" s="123"/>
      <c r="GL11" s="123"/>
      <c r="GM11" s="123"/>
      <c r="GN11" s="123"/>
      <c r="GO11" s="123"/>
      <c r="GP11" s="123"/>
      <c r="GQ11" s="123"/>
      <c r="GR11" s="123"/>
      <c r="GS11" s="123"/>
      <c r="GT11" s="123"/>
      <c r="GU11" s="123"/>
      <c r="GV11" s="123"/>
      <c r="GW11" s="123"/>
      <c r="GX11" s="123"/>
      <c r="GY11" s="123"/>
      <c r="GZ11" s="123"/>
      <c r="HA11" s="123"/>
      <c r="HB11" s="123"/>
      <c r="HC11" s="123"/>
      <c r="HD11" s="123"/>
      <c r="HE11" s="123"/>
      <c r="HF11" s="123"/>
      <c r="HG11" s="123"/>
      <c r="HH11" s="123"/>
      <c r="HI11" s="123"/>
      <c r="HJ11" s="123"/>
      <c r="HK11" s="123"/>
      <c r="HL11" s="123"/>
      <c r="HM11" s="123"/>
      <c r="HN11" s="123"/>
      <c r="HO11" s="123"/>
      <c r="HP11" s="123"/>
      <c r="HQ11" s="123"/>
      <c r="HR11" s="123"/>
      <c r="HS11" s="123"/>
      <c r="HT11" s="123"/>
      <c r="HU11" s="123"/>
      <c r="HV11" s="123"/>
      <c r="HW11" s="123"/>
      <c r="HX11" s="123"/>
      <c r="HY11" s="123"/>
      <c r="HZ11" s="123"/>
      <c r="IA11" s="123"/>
      <c r="IB11" s="123"/>
      <c r="IC11" s="123"/>
      <c r="ID11" s="123"/>
      <c r="IE11" s="123"/>
      <c r="IF11" s="123"/>
      <c r="IG11" s="123"/>
      <c r="IH11" s="123"/>
      <c r="II11" s="123"/>
      <c r="IJ11" s="123"/>
      <c r="IK11" s="123"/>
      <c r="IL11" s="123"/>
      <c r="IM11" s="123"/>
      <c r="IN11" s="123"/>
      <c r="IO11" s="123"/>
      <c r="IP11" s="123"/>
      <c r="IQ11" s="123"/>
      <c r="IR11" s="123"/>
      <c r="IS11" s="123"/>
      <c r="IT11" s="123"/>
      <c r="IU11" s="123"/>
      <c r="IV11" s="123"/>
      <c r="IW11" s="123"/>
      <c r="IX11" s="123"/>
      <c r="IY11" s="123"/>
      <c r="IZ11" s="123"/>
      <c r="JA11" s="123"/>
      <c r="JB11" s="123"/>
      <c r="JC11" s="123"/>
      <c r="JD11" s="123"/>
      <c r="JE11" s="123"/>
      <c r="JF11" s="123"/>
      <c r="JG11" s="123"/>
      <c r="JH11" s="123"/>
      <c r="JI11" s="123"/>
      <c r="JJ11" s="123"/>
      <c r="JK11" s="123"/>
      <c r="JL11" s="123"/>
      <c r="JM11" s="123"/>
      <c r="JN11" s="123"/>
      <c r="JO11" s="123"/>
      <c r="JP11" s="123"/>
      <c r="JQ11" s="123"/>
      <c r="JR11" s="123"/>
      <c r="JS11" s="123"/>
      <c r="JT11" s="123"/>
      <c r="JU11" s="123"/>
      <c r="JV11" s="123"/>
      <c r="JW11" s="123"/>
      <c r="JX11" s="123"/>
      <c r="JY11" s="123"/>
      <c r="JZ11" s="123"/>
      <c r="KA11" s="123"/>
      <c r="KB11" s="123"/>
      <c r="KC11" s="123"/>
      <c r="KD11" s="123"/>
      <c r="KE11" s="123"/>
      <c r="KF11" s="123"/>
      <c r="KG11" s="123"/>
      <c r="KH11" s="123"/>
      <c r="KI11" s="123"/>
      <c r="KJ11" s="123"/>
      <c r="KK11" s="123"/>
      <c r="KL11" s="123"/>
      <c r="KM11" s="123"/>
      <c r="KN11" s="123"/>
      <c r="KO11" s="123"/>
      <c r="KP11" s="123"/>
      <c r="KQ11" s="123"/>
      <c r="KR11" s="123"/>
      <c r="KS11" s="123"/>
      <c r="KT11" s="123"/>
      <c r="KU11" s="123"/>
      <c r="KV11" s="123"/>
      <c r="KW11" s="123"/>
      <c r="KX11" s="123"/>
      <c r="KY11" s="123"/>
      <c r="KZ11" s="123"/>
      <c r="LA11" s="123"/>
      <c r="LB11" s="123"/>
      <c r="LC11" s="123"/>
      <c r="LD11" s="123"/>
      <c r="LE11" s="123"/>
      <c r="LF11" s="123"/>
      <c r="LG11" s="123"/>
      <c r="LH11" s="123"/>
      <c r="LI11" s="123"/>
      <c r="LJ11" s="123"/>
      <c r="LK11" s="123"/>
      <c r="LL11" s="123"/>
      <c r="LM11" s="123"/>
      <c r="LN11" s="123"/>
      <c r="LO11" s="123"/>
      <c r="LP11" s="123"/>
      <c r="LQ11" s="123"/>
      <c r="LR11" s="123"/>
      <c r="LS11" s="123"/>
      <c r="LT11" s="123"/>
      <c r="LU11" s="123"/>
      <c r="LV11" s="123"/>
      <c r="LW11" s="123"/>
      <c r="LX11" s="123"/>
      <c r="LY11" s="123"/>
      <c r="LZ11" s="123"/>
      <c r="MA11" s="123"/>
      <c r="MB11" s="123"/>
      <c r="MC11" s="123"/>
      <c r="MD11" s="123"/>
      <c r="ME11" s="123"/>
      <c r="MF11" s="123"/>
      <c r="MG11" s="123"/>
      <c r="MH11" s="123"/>
      <c r="MI11" s="123"/>
      <c r="MJ11" s="123"/>
      <c r="MK11" s="123"/>
      <c r="ML11" s="123"/>
      <c r="MM11" s="123"/>
      <c r="MN11" s="123"/>
      <c r="MO11" s="123"/>
      <c r="MP11" s="123"/>
      <c r="MQ11" s="123"/>
      <c r="MR11" s="123"/>
      <c r="MS11" s="123"/>
      <c r="MT11" s="123"/>
      <c r="MU11" s="123"/>
      <c r="MV11" s="123"/>
      <c r="MW11" s="123"/>
      <c r="MX11" s="123"/>
      <c r="MY11" s="123"/>
      <c r="MZ11" s="123"/>
      <c r="NA11" s="123"/>
      <c r="NB11" s="123"/>
      <c r="NC11" s="123"/>
      <c r="ND11" s="123"/>
      <c r="NE11" s="123"/>
      <c r="NF11" s="123"/>
      <c r="NI11" s="24"/>
      <c r="NJ11" s="24"/>
      <c r="NK11" s="24"/>
      <c r="NL11" s="24"/>
      <c r="NM11" s="24"/>
      <c r="NN11" s="24"/>
      <c r="NO11" s="24"/>
      <c r="NP11" s="24"/>
    </row>
    <row r="12" spans="1:380" ht="15.75" x14ac:dyDescent="0.25">
      <c r="B12" s="12">
        <v>709</v>
      </c>
      <c r="C12" s="123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  <c r="AS12" s="123"/>
      <c r="AT12" s="123"/>
      <c r="AU12" s="123"/>
      <c r="AV12" s="123"/>
      <c r="AW12" s="123"/>
      <c r="AX12" s="123"/>
      <c r="AY12" s="123"/>
      <c r="AZ12" s="123"/>
      <c r="BA12" s="123"/>
      <c r="BB12" s="123"/>
      <c r="BC12" s="123"/>
      <c r="BD12" s="123"/>
      <c r="BE12" s="123"/>
      <c r="BF12" s="123"/>
      <c r="BG12" s="123"/>
      <c r="BH12" s="123"/>
      <c r="BI12" s="123"/>
      <c r="BJ12" s="123"/>
      <c r="BK12" s="123"/>
      <c r="BL12" s="123"/>
      <c r="BM12" s="123"/>
      <c r="BN12" s="123"/>
      <c r="BO12" s="123"/>
      <c r="BP12" s="123"/>
      <c r="BQ12" s="123"/>
      <c r="BR12" s="123"/>
      <c r="BS12" s="123"/>
      <c r="BT12" s="123"/>
      <c r="BU12" s="123"/>
      <c r="BV12" s="123"/>
      <c r="BW12" s="123"/>
      <c r="BX12" s="123"/>
      <c r="BY12" s="123"/>
      <c r="BZ12" s="123"/>
      <c r="CA12" s="123"/>
      <c r="CB12" s="123"/>
      <c r="CC12" s="123"/>
      <c r="CD12" s="123"/>
      <c r="CE12" s="123"/>
      <c r="CF12" s="123"/>
      <c r="CG12" s="123"/>
      <c r="CH12" s="123"/>
      <c r="CI12" s="123"/>
      <c r="CJ12" s="123"/>
      <c r="CK12" s="123"/>
      <c r="CL12" s="123"/>
      <c r="CM12" s="123"/>
      <c r="CN12" s="123"/>
      <c r="CO12" s="123"/>
      <c r="CP12" s="123"/>
      <c r="CQ12" s="123"/>
      <c r="CR12" s="123"/>
      <c r="CS12" s="123"/>
      <c r="CT12" s="123"/>
      <c r="CU12" s="123"/>
      <c r="CV12" s="123"/>
      <c r="CW12" s="123"/>
      <c r="CX12" s="123"/>
      <c r="CY12" s="123"/>
      <c r="CZ12" s="123"/>
      <c r="DA12" s="123"/>
      <c r="DB12" s="123"/>
      <c r="DC12" s="123"/>
      <c r="DD12" s="123"/>
      <c r="DE12" s="123"/>
      <c r="DF12" s="123"/>
      <c r="DG12" s="123"/>
      <c r="DH12" s="123"/>
      <c r="DI12" s="123"/>
      <c r="DJ12" s="123"/>
      <c r="DK12" s="123"/>
      <c r="DL12" s="123"/>
      <c r="DM12" s="123"/>
      <c r="DN12" s="123"/>
      <c r="DO12" s="123"/>
      <c r="DP12" s="123"/>
      <c r="DQ12" s="123"/>
      <c r="DR12" s="123"/>
      <c r="DS12" s="123"/>
      <c r="DT12" s="123"/>
      <c r="DU12" s="123"/>
      <c r="DV12" s="123"/>
      <c r="DW12" s="123"/>
      <c r="DX12" s="123"/>
      <c r="DY12" s="123"/>
      <c r="DZ12" s="123"/>
      <c r="EA12" s="123"/>
      <c r="EB12" s="123"/>
      <c r="EC12" s="123"/>
      <c r="ED12" s="123"/>
      <c r="EE12" s="123"/>
      <c r="EF12" s="123"/>
      <c r="EG12" s="123"/>
      <c r="EH12" s="123"/>
      <c r="EI12" s="123"/>
      <c r="EJ12" s="123"/>
      <c r="EK12" s="123"/>
      <c r="EL12" s="123"/>
      <c r="EM12" s="123"/>
      <c r="EN12" s="123"/>
      <c r="EO12" s="123"/>
      <c r="EP12" s="123"/>
      <c r="EQ12" s="123"/>
      <c r="ER12" s="123"/>
      <c r="ES12" s="123"/>
      <c r="ET12" s="123"/>
      <c r="EU12" s="123"/>
      <c r="EV12" s="123"/>
      <c r="EW12" s="123"/>
      <c r="EX12" s="123"/>
      <c r="EY12" s="123"/>
      <c r="EZ12" s="123"/>
      <c r="FA12" s="123"/>
      <c r="FB12" s="123"/>
      <c r="FC12" s="123"/>
      <c r="FD12" s="123"/>
      <c r="FE12" s="123"/>
      <c r="FF12" s="123"/>
      <c r="FG12" s="123"/>
      <c r="FH12" s="123"/>
      <c r="FI12" s="123"/>
      <c r="FJ12" s="123"/>
      <c r="FK12" s="123"/>
      <c r="FL12" s="123"/>
      <c r="FM12" s="123"/>
      <c r="FN12" s="123"/>
      <c r="FO12" s="123"/>
      <c r="FP12" s="123"/>
      <c r="FQ12" s="123"/>
      <c r="FR12" s="123"/>
      <c r="FS12" s="123"/>
      <c r="FT12" s="123"/>
      <c r="FU12" s="123"/>
      <c r="FV12" s="123"/>
      <c r="FW12" s="123"/>
      <c r="FX12" s="123"/>
      <c r="FY12" s="123"/>
      <c r="FZ12" s="123"/>
      <c r="GA12" s="123"/>
      <c r="GB12" s="123"/>
      <c r="GC12" s="123"/>
      <c r="GD12" s="123"/>
      <c r="GE12" s="123"/>
      <c r="GF12" s="123"/>
      <c r="GG12" s="123"/>
      <c r="GH12" s="123"/>
      <c r="GI12" s="123"/>
      <c r="GJ12" s="123"/>
      <c r="GK12" s="123"/>
      <c r="GL12" s="123"/>
      <c r="GM12" s="123"/>
      <c r="GN12" s="123"/>
      <c r="GO12" s="123"/>
      <c r="GP12" s="123"/>
      <c r="GQ12" s="123"/>
      <c r="GR12" s="123"/>
      <c r="GS12" s="123"/>
      <c r="GT12" s="123"/>
      <c r="GU12" s="123"/>
      <c r="GV12" s="123"/>
      <c r="GW12" s="123"/>
      <c r="GX12" s="123"/>
      <c r="GY12" s="123"/>
      <c r="GZ12" s="123"/>
      <c r="HA12" s="123"/>
      <c r="HB12" s="123"/>
      <c r="HC12" s="123"/>
      <c r="HD12" s="123"/>
      <c r="HE12" s="123"/>
      <c r="HF12" s="123"/>
      <c r="HG12" s="123"/>
      <c r="HH12" s="123"/>
      <c r="HI12" s="123"/>
      <c r="HJ12" s="123"/>
      <c r="HK12" s="123"/>
      <c r="HL12" s="123"/>
      <c r="HM12" s="123"/>
      <c r="HN12" s="123"/>
      <c r="HO12" s="123"/>
      <c r="HP12" s="123"/>
      <c r="HQ12" s="123"/>
      <c r="HR12" s="123"/>
      <c r="HS12" s="123"/>
      <c r="HT12" s="123"/>
      <c r="HU12" s="123"/>
      <c r="HV12" s="123"/>
      <c r="HW12" s="123"/>
      <c r="HX12" s="123"/>
      <c r="HY12" s="123"/>
      <c r="HZ12" s="123"/>
      <c r="IA12" s="123"/>
      <c r="IB12" s="123"/>
      <c r="IC12" s="123"/>
      <c r="ID12" s="123"/>
      <c r="IE12" s="123"/>
      <c r="IF12" s="123"/>
      <c r="IG12" s="123"/>
      <c r="IH12" s="123"/>
      <c r="II12" s="123"/>
      <c r="IJ12" s="123"/>
      <c r="IK12" s="123"/>
      <c r="IL12" s="123"/>
      <c r="IM12" s="123"/>
      <c r="IN12" s="123"/>
      <c r="IO12" s="123"/>
      <c r="IP12" s="123"/>
      <c r="IQ12" s="123"/>
      <c r="IR12" s="123"/>
      <c r="IS12" s="123"/>
      <c r="IT12" s="123"/>
      <c r="IU12" s="123"/>
      <c r="IV12" s="123"/>
      <c r="IW12" s="123"/>
      <c r="IX12" s="123"/>
      <c r="IY12" s="123"/>
      <c r="IZ12" s="123"/>
      <c r="JA12" s="123"/>
      <c r="JB12" s="123"/>
      <c r="JC12" s="123"/>
      <c r="JD12" s="123"/>
      <c r="JE12" s="123"/>
      <c r="JF12" s="123"/>
      <c r="JG12" s="123"/>
      <c r="JH12" s="123"/>
      <c r="JI12" s="123"/>
      <c r="JJ12" s="123"/>
      <c r="JK12" s="123"/>
      <c r="JL12" s="123"/>
      <c r="JM12" s="123"/>
      <c r="JN12" s="123"/>
      <c r="JO12" s="123"/>
      <c r="JP12" s="123"/>
      <c r="JQ12" s="123"/>
      <c r="JR12" s="123"/>
      <c r="JS12" s="123"/>
      <c r="JT12" s="123"/>
      <c r="JU12" s="123"/>
      <c r="JV12" s="123"/>
      <c r="JW12" s="123"/>
      <c r="JX12" s="123"/>
      <c r="JY12" s="123"/>
      <c r="JZ12" s="123"/>
      <c r="KA12" s="123"/>
      <c r="KB12" s="123"/>
      <c r="KC12" s="123"/>
      <c r="KD12" s="123"/>
      <c r="KE12" s="123"/>
      <c r="KF12" s="123"/>
      <c r="KG12" s="123"/>
      <c r="KH12" s="123"/>
      <c r="KI12" s="123"/>
      <c r="KJ12" s="123"/>
      <c r="KK12" s="123"/>
      <c r="KL12" s="123"/>
      <c r="KM12" s="123"/>
      <c r="KN12" s="123"/>
      <c r="KO12" s="123"/>
      <c r="KP12" s="123"/>
      <c r="KQ12" s="123"/>
      <c r="KR12" s="123"/>
      <c r="KS12" s="123"/>
      <c r="KT12" s="123"/>
      <c r="KU12" s="123"/>
      <c r="KV12" s="123"/>
      <c r="KW12" s="123"/>
      <c r="KX12" s="123"/>
      <c r="KY12" s="123"/>
      <c r="KZ12" s="123"/>
      <c r="LA12" s="123"/>
      <c r="LB12" s="123"/>
      <c r="LC12" s="123"/>
      <c r="LD12" s="123"/>
      <c r="LE12" s="123"/>
      <c r="LF12" s="123"/>
      <c r="LG12" s="123"/>
      <c r="LH12" s="123"/>
      <c r="LI12" s="123"/>
      <c r="LJ12" s="123"/>
      <c r="LK12" s="123"/>
      <c r="LL12" s="123"/>
      <c r="LM12" s="123"/>
      <c r="LN12" s="123"/>
      <c r="LO12" s="123"/>
      <c r="LP12" s="123"/>
      <c r="LQ12" s="123"/>
      <c r="LR12" s="123"/>
      <c r="LS12" s="123"/>
      <c r="LT12" s="123"/>
      <c r="LU12" s="123"/>
      <c r="LV12" s="123"/>
      <c r="LW12" s="123"/>
      <c r="LX12" s="123"/>
      <c r="LY12" s="123"/>
      <c r="LZ12" s="123"/>
      <c r="MA12" s="123"/>
      <c r="MB12" s="123"/>
      <c r="MC12" s="123"/>
      <c r="MD12" s="123"/>
      <c r="ME12" s="123"/>
      <c r="MF12" s="123"/>
      <c r="MG12" s="123"/>
      <c r="MH12" s="123"/>
      <c r="MI12" s="123"/>
      <c r="MJ12" s="123"/>
      <c r="MK12" s="123"/>
      <c r="ML12" s="123"/>
      <c r="MM12" s="123"/>
      <c r="MN12" s="123"/>
      <c r="MO12" s="123"/>
      <c r="MP12" s="123"/>
      <c r="MQ12" s="123"/>
      <c r="MR12" s="123"/>
      <c r="MS12" s="123"/>
      <c r="MT12" s="123"/>
      <c r="MU12" s="123"/>
      <c r="MV12" s="123"/>
      <c r="MW12" s="123"/>
      <c r="MX12" s="123"/>
      <c r="MY12" s="123"/>
      <c r="MZ12" s="123"/>
      <c r="NA12" s="123"/>
      <c r="NB12" s="123"/>
      <c r="NC12" s="123"/>
      <c r="ND12" s="123"/>
      <c r="NE12" s="123"/>
      <c r="NF12" s="123"/>
      <c r="NI12" s="24"/>
      <c r="NJ12" s="24"/>
      <c r="NK12" s="24"/>
      <c r="NM12" s="24"/>
      <c r="NN12" s="24"/>
      <c r="NO12" s="24"/>
      <c r="NP12" s="24"/>
    </row>
    <row r="13" spans="1:380" ht="15.75" x14ac:dyDescent="0.25">
      <c r="B13" s="12">
        <v>710</v>
      </c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3"/>
      <c r="DO13" s="123"/>
      <c r="DP13" s="123"/>
      <c r="DQ13" s="123"/>
      <c r="DR13" s="123"/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123"/>
      <c r="EF13" s="123"/>
      <c r="EG13" s="123"/>
      <c r="EH13" s="123"/>
      <c r="EI13" s="123"/>
      <c r="EJ13" s="123"/>
      <c r="EK13" s="123"/>
      <c r="EL13" s="123"/>
      <c r="EM13" s="123"/>
      <c r="EN13" s="123"/>
      <c r="EO13" s="123"/>
      <c r="EP13" s="123"/>
      <c r="EQ13" s="123"/>
      <c r="ER13" s="123"/>
      <c r="ES13" s="123"/>
      <c r="ET13" s="123"/>
      <c r="EU13" s="123"/>
      <c r="EV13" s="123"/>
      <c r="EW13" s="123"/>
      <c r="EX13" s="123"/>
      <c r="EY13" s="123"/>
      <c r="EZ13" s="123"/>
      <c r="FA13" s="123"/>
      <c r="FB13" s="123"/>
      <c r="FC13" s="123"/>
      <c r="FD13" s="123"/>
      <c r="FE13" s="123"/>
      <c r="FF13" s="123"/>
      <c r="FG13" s="123"/>
      <c r="FH13" s="123"/>
      <c r="FI13" s="123"/>
      <c r="FJ13" s="123"/>
      <c r="FK13" s="123"/>
      <c r="FL13" s="123"/>
      <c r="FM13" s="123"/>
      <c r="FN13" s="123"/>
      <c r="FO13" s="123"/>
      <c r="FP13" s="123"/>
      <c r="FQ13" s="123"/>
      <c r="FR13" s="123"/>
      <c r="FS13" s="123"/>
      <c r="FT13" s="123"/>
      <c r="FU13" s="123"/>
      <c r="FV13" s="123"/>
      <c r="FW13" s="123"/>
      <c r="FX13" s="123"/>
      <c r="FY13" s="123"/>
      <c r="FZ13" s="123"/>
      <c r="GA13" s="123"/>
      <c r="GB13" s="123"/>
      <c r="GC13" s="123"/>
      <c r="GD13" s="123"/>
      <c r="GE13" s="123"/>
      <c r="GF13" s="123"/>
      <c r="GG13" s="123"/>
      <c r="GH13" s="123"/>
      <c r="GI13" s="123"/>
      <c r="GJ13" s="123"/>
      <c r="GK13" s="123"/>
      <c r="GL13" s="123"/>
      <c r="GM13" s="123"/>
      <c r="GN13" s="123"/>
      <c r="GO13" s="123"/>
      <c r="GP13" s="123"/>
      <c r="GQ13" s="123"/>
      <c r="GR13" s="123"/>
      <c r="GS13" s="123"/>
      <c r="GT13" s="123"/>
      <c r="GU13" s="123"/>
      <c r="GV13" s="123"/>
      <c r="GW13" s="123"/>
      <c r="GX13" s="123"/>
      <c r="GY13" s="123"/>
      <c r="GZ13" s="123"/>
      <c r="HA13" s="123"/>
      <c r="HB13" s="123"/>
      <c r="HC13" s="123"/>
      <c r="HD13" s="123"/>
      <c r="HE13" s="123"/>
      <c r="HF13" s="123"/>
      <c r="HG13" s="123"/>
      <c r="HH13" s="123"/>
      <c r="HI13" s="123"/>
      <c r="HJ13" s="123"/>
      <c r="HK13" s="123"/>
      <c r="HL13" s="123"/>
      <c r="HM13" s="123"/>
      <c r="HN13" s="123"/>
      <c r="HO13" s="123"/>
      <c r="HP13" s="123"/>
      <c r="HQ13" s="123"/>
      <c r="HR13" s="123"/>
      <c r="HS13" s="123"/>
      <c r="HT13" s="123"/>
      <c r="HU13" s="123"/>
      <c r="HV13" s="123"/>
      <c r="HW13" s="123"/>
      <c r="HX13" s="123"/>
      <c r="HY13" s="123"/>
      <c r="HZ13" s="123"/>
      <c r="IA13" s="123"/>
      <c r="IB13" s="123"/>
      <c r="IC13" s="123"/>
      <c r="ID13" s="123"/>
      <c r="IE13" s="123"/>
      <c r="IF13" s="123"/>
      <c r="IG13" s="123"/>
      <c r="IH13" s="123"/>
      <c r="II13" s="123"/>
      <c r="IJ13" s="123"/>
      <c r="IK13" s="123"/>
      <c r="IL13" s="123"/>
      <c r="IM13" s="123"/>
      <c r="IN13" s="123"/>
      <c r="IO13" s="123"/>
      <c r="IP13" s="123"/>
      <c r="IQ13" s="123"/>
      <c r="IR13" s="123"/>
      <c r="IS13" s="123"/>
      <c r="IT13" s="123"/>
      <c r="IU13" s="123"/>
      <c r="IV13" s="123"/>
      <c r="IW13" s="123"/>
      <c r="IX13" s="123"/>
      <c r="IY13" s="123"/>
      <c r="IZ13" s="123"/>
      <c r="JA13" s="123"/>
      <c r="JB13" s="123"/>
      <c r="JC13" s="123"/>
      <c r="JD13" s="123"/>
      <c r="JE13" s="123"/>
      <c r="JF13" s="123"/>
      <c r="JG13" s="123"/>
      <c r="JH13" s="123"/>
      <c r="JI13" s="123"/>
      <c r="JJ13" s="123"/>
      <c r="JK13" s="123"/>
      <c r="JL13" s="123"/>
      <c r="JM13" s="123"/>
      <c r="JN13" s="123"/>
      <c r="JO13" s="123"/>
      <c r="JP13" s="123"/>
      <c r="JQ13" s="123"/>
      <c r="JR13" s="123"/>
      <c r="JS13" s="123"/>
      <c r="JT13" s="123"/>
      <c r="JU13" s="123"/>
      <c r="JV13" s="123"/>
      <c r="JW13" s="123"/>
      <c r="JX13" s="123"/>
      <c r="JY13" s="123"/>
      <c r="JZ13" s="123"/>
      <c r="KA13" s="123"/>
      <c r="KB13" s="123"/>
      <c r="KC13" s="123"/>
      <c r="KD13" s="123"/>
      <c r="KE13" s="123"/>
      <c r="KF13" s="123"/>
      <c r="KG13" s="123"/>
      <c r="KH13" s="123"/>
      <c r="KI13" s="123"/>
      <c r="KJ13" s="123"/>
      <c r="KK13" s="123"/>
      <c r="KL13" s="123"/>
      <c r="KM13" s="123"/>
      <c r="KN13" s="123"/>
      <c r="KO13" s="123"/>
      <c r="KP13" s="123"/>
      <c r="KQ13" s="123"/>
      <c r="KR13" s="123"/>
      <c r="KS13" s="123"/>
      <c r="KT13" s="123"/>
      <c r="KU13" s="123"/>
      <c r="KV13" s="123"/>
      <c r="KW13" s="123"/>
      <c r="KX13" s="123"/>
      <c r="KY13" s="123"/>
      <c r="KZ13" s="123"/>
      <c r="LA13" s="123"/>
      <c r="LB13" s="123"/>
      <c r="LC13" s="123"/>
      <c r="LD13" s="123"/>
      <c r="LE13" s="123"/>
      <c r="LF13" s="123"/>
      <c r="LG13" s="123"/>
      <c r="LH13" s="123"/>
      <c r="LI13" s="123"/>
      <c r="LJ13" s="123"/>
      <c r="LK13" s="123"/>
      <c r="LL13" s="123"/>
      <c r="LM13" s="123"/>
      <c r="LN13" s="123"/>
      <c r="LO13" s="123"/>
      <c r="LP13" s="123"/>
      <c r="LQ13" s="123"/>
      <c r="LR13" s="123"/>
      <c r="LS13" s="123"/>
      <c r="LT13" s="123"/>
      <c r="LU13" s="123"/>
      <c r="LV13" s="123"/>
      <c r="LW13" s="123"/>
      <c r="LX13" s="123"/>
      <c r="LY13" s="123"/>
      <c r="LZ13" s="123"/>
      <c r="MA13" s="123"/>
      <c r="MB13" s="123"/>
      <c r="MC13" s="123"/>
      <c r="MD13" s="123"/>
      <c r="ME13" s="123"/>
      <c r="MF13" s="123"/>
      <c r="MG13" s="123"/>
      <c r="MH13" s="123"/>
      <c r="MI13" s="123"/>
      <c r="MJ13" s="123"/>
      <c r="MK13" s="123"/>
      <c r="ML13" s="123"/>
      <c r="MM13" s="123"/>
      <c r="MN13" s="123"/>
      <c r="MO13" s="123"/>
      <c r="MP13" s="123"/>
      <c r="MQ13" s="123"/>
      <c r="MR13" s="123"/>
      <c r="MS13" s="123"/>
      <c r="MT13" s="123"/>
      <c r="MU13" s="123"/>
      <c r="MV13" s="123"/>
      <c r="MW13" s="123"/>
      <c r="MX13" s="123"/>
      <c r="MY13" s="123"/>
      <c r="MZ13" s="123"/>
      <c r="NA13" s="123"/>
      <c r="NB13" s="123"/>
      <c r="NC13" s="123"/>
      <c r="ND13" s="123"/>
      <c r="NE13" s="123"/>
      <c r="NF13" s="123"/>
      <c r="NI13" s="24"/>
      <c r="NJ13" s="24"/>
      <c r="NK13" s="24"/>
      <c r="NM13" s="24"/>
      <c r="NN13" s="24"/>
      <c r="NO13" s="24"/>
      <c r="NP13" s="24"/>
    </row>
    <row r="14" spans="1:380" ht="15.75" x14ac:dyDescent="0.25">
      <c r="B14" s="12">
        <v>711</v>
      </c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  <c r="AS14" s="123"/>
      <c r="AT14" s="123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3"/>
      <c r="BG14" s="123"/>
      <c r="BH14" s="123"/>
      <c r="BI14" s="123"/>
      <c r="BJ14" s="123"/>
      <c r="BK14" s="123"/>
      <c r="BL14" s="123"/>
      <c r="BM14" s="123"/>
      <c r="BN14" s="123"/>
      <c r="BO14" s="123"/>
      <c r="BP14" s="123"/>
      <c r="BQ14" s="123"/>
      <c r="BR14" s="123"/>
      <c r="BS14" s="123"/>
      <c r="BT14" s="123"/>
      <c r="BU14" s="123"/>
      <c r="BV14" s="123"/>
      <c r="BW14" s="123"/>
      <c r="BX14" s="123"/>
      <c r="BY14" s="123"/>
      <c r="BZ14" s="123"/>
      <c r="CA14" s="123"/>
      <c r="CB14" s="123"/>
      <c r="CC14" s="123"/>
      <c r="CD14" s="123"/>
      <c r="CE14" s="123"/>
      <c r="CF14" s="123"/>
      <c r="CG14" s="123"/>
      <c r="CH14" s="123"/>
      <c r="CI14" s="123"/>
      <c r="CJ14" s="123"/>
      <c r="CK14" s="123"/>
      <c r="CL14" s="123"/>
      <c r="CM14" s="123"/>
      <c r="CN14" s="123"/>
      <c r="CO14" s="123"/>
      <c r="CP14" s="123"/>
      <c r="CQ14" s="123"/>
      <c r="CR14" s="123"/>
      <c r="CS14" s="123"/>
      <c r="CT14" s="123"/>
      <c r="CU14" s="123"/>
      <c r="CV14" s="123"/>
      <c r="CW14" s="123"/>
      <c r="CX14" s="123"/>
      <c r="CY14" s="123"/>
      <c r="CZ14" s="123"/>
      <c r="DA14" s="123"/>
      <c r="DB14" s="123"/>
      <c r="DC14" s="123"/>
      <c r="DD14" s="123"/>
      <c r="DE14" s="123"/>
      <c r="DF14" s="123"/>
      <c r="DG14" s="123"/>
      <c r="DH14" s="123"/>
      <c r="DI14" s="123"/>
      <c r="DJ14" s="123"/>
      <c r="DK14" s="123"/>
      <c r="DL14" s="123"/>
      <c r="DM14" s="123"/>
      <c r="DN14" s="123"/>
      <c r="DO14" s="123"/>
      <c r="DP14" s="123"/>
      <c r="DQ14" s="123"/>
      <c r="DR14" s="123"/>
      <c r="DS14" s="123"/>
      <c r="DT14" s="123"/>
      <c r="DU14" s="123"/>
      <c r="DV14" s="123"/>
      <c r="DW14" s="123"/>
      <c r="DX14" s="123"/>
      <c r="DY14" s="123"/>
      <c r="DZ14" s="123"/>
      <c r="EA14" s="123"/>
      <c r="EB14" s="123"/>
      <c r="EC14" s="123"/>
      <c r="ED14" s="123"/>
      <c r="EE14" s="123"/>
      <c r="EF14" s="123"/>
      <c r="EG14" s="123"/>
      <c r="EH14" s="123"/>
      <c r="EI14" s="123"/>
      <c r="EJ14" s="123"/>
      <c r="EK14" s="123"/>
      <c r="EL14" s="123"/>
      <c r="EM14" s="123"/>
      <c r="EN14" s="123"/>
      <c r="EO14" s="123"/>
      <c r="EP14" s="123"/>
      <c r="EQ14" s="123"/>
      <c r="ER14" s="123"/>
      <c r="ES14" s="123"/>
      <c r="ET14" s="123"/>
      <c r="EU14" s="123"/>
      <c r="EV14" s="123"/>
      <c r="EW14" s="123"/>
      <c r="EX14" s="123"/>
      <c r="EY14" s="123"/>
      <c r="EZ14" s="123"/>
      <c r="FA14" s="123"/>
      <c r="FB14" s="123"/>
      <c r="FC14" s="123"/>
      <c r="FD14" s="123"/>
      <c r="FE14" s="123"/>
      <c r="FF14" s="123"/>
      <c r="FG14" s="123"/>
      <c r="FH14" s="123"/>
      <c r="FI14" s="123"/>
      <c r="FJ14" s="123"/>
      <c r="FK14" s="123"/>
      <c r="FL14" s="123"/>
      <c r="FM14" s="123"/>
      <c r="FN14" s="123"/>
      <c r="FO14" s="123"/>
      <c r="FP14" s="123"/>
      <c r="FQ14" s="123"/>
      <c r="FR14" s="123"/>
      <c r="FS14" s="123"/>
      <c r="FT14" s="123"/>
      <c r="FU14" s="123"/>
      <c r="FV14" s="123"/>
      <c r="FW14" s="123"/>
      <c r="FX14" s="123"/>
      <c r="FY14" s="123"/>
      <c r="FZ14" s="123"/>
      <c r="GA14" s="123"/>
      <c r="GB14" s="123"/>
      <c r="GC14" s="123"/>
      <c r="GD14" s="123"/>
      <c r="GE14" s="123"/>
      <c r="GF14" s="123"/>
      <c r="GG14" s="123"/>
      <c r="GH14" s="123"/>
      <c r="GI14" s="123"/>
      <c r="GJ14" s="123"/>
      <c r="GK14" s="123"/>
      <c r="GL14" s="123"/>
      <c r="GM14" s="123"/>
      <c r="GN14" s="123"/>
      <c r="GO14" s="123"/>
      <c r="GP14" s="123"/>
      <c r="GQ14" s="123"/>
      <c r="GR14" s="123"/>
      <c r="GS14" s="123"/>
      <c r="GT14" s="123"/>
      <c r="GU14" s="123"/>
      <c r="GV14" s="123"/>
      <c r="GW14" s="123"/>
      <c r="GX14" s="123"/>
      <c r="GY14" s="123"/>
      <c r="GZ14" s="123"/>
      <c r="HA14" s="123"/>
      <c r="HB14" s="123"/>
      <c r="HC14" s="123"/>
      <c r="HD14" s="123"/>
      <c r="HE14" s="123"/>
      <c r="HF14" s="123"/>
      <c r="HG14" s="123"/>
      <c r="HH14" s="123"/>
      <c r="HI14" s="123"/>
      <c r="HJ14" s="123"/>
      <c r="HK14" s="123"/>
      <c r="HL14" s="123"/>
      <c r="HM14" s="123"/>
      <c r="HN14" s="123"/>
      <c r="HO14" s="123"/>
      <c r="HP14" s="123"/>
      <c r="HQ14" s="123"/>
      <c r="HR14" s="123"/>
      <c r="HS14" s="123"/>
      <c r="HT14" s="123"/>
      <c r="HU14" s="123"/>
      <c r="HV14" s="123"/>
      <c r="HW14" s="123"/>
      <c r="HX14" s="123"/>
      <c r="HY14" s="123"/>
      <c r="HZ14" s="123"/>
      <c r="IA14" s="123"/>
      <c r="IB14" s="123"/>
      <c r="IC14" s="123"/>
      <c r="ID14" s="123"/>
      <c r="IE14" s="123"/>
      <c r="IF14" s="123"/>
      <c r="IG14" s="123"/>
      <c r="IH14" s="123"/>
      <c r="II14" s="123"/>
      <c r="IJ14" s="123"/>
      <c r="IK14" s="123"/>
      <c r="IL14" s="123"/>
      <c r="IM14" s="123"/>
      <c r="IN14" s="123"/>
      <c r="IO14" s="123"/>
      <c r="IP14" s="123"/>
      <c r="IQ14" s="123"/>
      <c r="IR14" s="123"/>
      <c r="IS14" s="123"/>
      <c r="IT14" s="123"/>
      <c r="IU14" s="123"/>
      <c r="IV14" s="123"/>
      <c r="IW14" s="123"/>
      <c r="IX14" s="123"/>
      <c r="IY14" s="123"/>
      <c r="IZ14" s="123"/>
      <c r="JA14" s="123"/>
      <c r="JB14" s="123"/>
      <c r="JC14" s="123"/>
      <c r="JD14" s="123"/>
      <c r="JE14" s="123"/>
      <c r="JF14" s="123"/>
      <c r="JG14" s="123"/>
      <c r="JH14" s="123"/>
      <c r="JI14" s="123"/>
      <c r="JJ14" s="123"/>
      <c r="JK14" s="123"/>
      <c r="JL14" s="123"/>
      <c r="JM14" s="123"/>
      <c r="JN14" s="123"/>
      <c r="JO14" s="123"/>
      <c r="JP14" s="123"/>
      <c r="JQ14" s="123"/>
      <c r="JR14" s="123"/>
      <c r="JS14" s="123"/>
      <c r="JT14" s="123"/>
      <c r="JU14" s="123"/>
      <c r="JV14" s="123"/>
      <c r="JW14" s="123"/>
      <c r="JX14" s="123"/>
      <c r="JY14" s="123"/>
      <c r="JZ14" s="123"/>
      <c r="KA14" s="123"/>
      <c r="KB14" s="123"/>
      <c r="KC14" s="123"/>
      <c r="KD14" s="123"/>
      <c r="KE14" s="123"/>
      <c r="KF14" s="123"/>
      <c r="KG14" s="123"/>
      <c r="KH14" s="123"/>
      <c r="KI14" s="123"/>
      <c r="KJ14" s="123"/>
      <c r="KK14" s="123"/>
      <c r="KL14" s="123"/>
      <c r="KM14" s="123"/>
      <c r="KN14" s="123"/>
      <c r="KO14" s="123"/>
      <c r="KP14" s="123"/>
      <c r="KQ14" s="123"/>
      <c r="KR14" s="123"/>
      <c r="KS14" s="123"/>
      <c r="KT14" s="123"/>
      <c r="KU14" s="123"/>
      <c r="KV14" s="123"/>
      <c r="KW14" s="123"/>
      <c r="KX14" s="123"/>
      <c r="KY14" s="123"/>
      <c r="KZ14" s="123"/>
      <c r="LA14" s="123"/>
      <c r="LB14" s="123"/>
      <c r="LC14" s="123"/>
      <c r="LD14" s="123"/>
      <c r="LE14" s="123"/>
      <c r="LF14" s="123"/>
      <c r="LG14" s="123"/>
      <c r="LH14" s="123"/>
      <c r="LI14" s="123"/>
      <c r="LJ14" s="123"/>
      <c r="LK14" s="123"/>
      <c r="LL14" s="123"/>
      <c r="LM14" s="123"/>
      <c r="LN14" s="123"/>
      <c r="LO14" s="123"/>
      <c r="LP14" s="123"/>
      <c r="LQ14" s="123"/>
      <c r="LR14" s="123"/>
      <c r="LS14" s="123"/>
      <c r="LT14" s="123"/>
      <c r="LU14" s="123"/>
      <c r="LV14" s="123"/>
      <c r="LW14" s="123"/>
      <c r="LX14" s="123"/>
      <c r="LY14" s="123"/>
      <c r="LZ14" s="123"/>
      <c r="MA14" s="123"/>
      <c r="MB14" s="123"/>
      <c r="MC14" s="123"/>
      <c r="MD14" s="123"/>
      <c r="ME14" s="123"/>
      <c r="MF14" s="123"/>
      <c r="MG14" s="123"/>
      <c r="MH14" s="123"/>
      <c r="MI14" s="123"/>
      <c r="MJ14" s="123"/>
      <c r="MK14" s="123"/>
      <c r="ML14" s="123"/>
      <c r="MM14" s="123"/>
      <c r="MN14" s="123"/>
      <c r="MO14" s="123"/>
      <c r="MP14" s="123"/>
      <c r="MQ14" s="123"/>
      <c r="MR14" s="123"/>
      <c r="MS14" s="123"/>
      <c r="MT14" s="123"/>
      <c r="MU14" s="123"/>
      <c r="MV14" s="123"/>
      <c r="MW14" s="123"/>
      <c r="MX14" s="123"/>
      <c r="MY14" s="123"/>
      <c r="MZ14" s="123"/>
      <c r="NA14" s="123"/>
      <c r="NB14" s="123"/>
      <c r="NC14" s="123"/>
      <c r="ND14" s="123"/>
      <c r="NE14" s="123"/>
      <c r="NF14" s="123"/>
      <c r="NI14" s="24"/>
      <c r="NJ14" s="24"/>
      <c r="NK14" s="24"/>
      <c r="NL14" s="24"/>
      <c r="NM14" s="24"/>
      <c r="NN14" s="24"/>
      <c r="NO14" s="24"/>
      <c r="NP14" s="24"/>
    </row>
    <row r="15" spans="1:380" ht="16.5" thickBot="1" x14ac:dyDescent="0.3">
      <c r="B15" s="13">
        <v>712</v>
      </c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4"/>
      <c r="CZ15" s="124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4"/>
      <c r="DR15" s="124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4"/>
      <c r="EI15" s="124"/>
      <c r="EJ15" s="124"/>
      <c r="EK15" s="124"/>
      <c r="EL15" s="124"/>
      <c r="EM15" s="124"/>
      <c r="EN15" s="124"/>
      <c r="EO15" s="124"/>
      <c r="EP15" s="124"/>
      <c r="EQ15" s="124"/>
      <c r="ER15" s="124"/>
      <c r="ES15" s="124"/>
      <c r="ET15" s="124"/>
      <c r="EU15" s="124"/>
      <c r="EV15" s="124"/>
      <c r="EW15" s="124"/>
      <c r="EX15" s="124"/>
      <c r="EY15" s="124"/>
      <c r="EZ15" s="124"/>
      <c r="FA15" s="124"/>
      <c r="FB15" s="124"/>
      <c r="FC15" s="124"/>
      <c r="FD15" s="124"/>
      <c r="FE15" s="124"/>
      <c r="FF15" s="124"/>
      <c r="FG15" s="124"/>
      <c r="FH15" s="124"/>
      <c r="FI15" s="124"/>
      <c r="FJ15" s="124"/>
      <c r="FK15" s="124"/>
      <c r="FL15" s="124"/>
      <c r="FM15" s="124"/>
      <c r="FN15" s="124"/>
      <c r="FO15" s="124"/>
      <c r="FP15" s="124"/>
      <c r="FQ15" s="124"/>
      <c r="FR15" s="124"/>
      <c r="FS15" s="124"/>
      <c r="FT15" s="124"/>
      <c r="FU15" s="124"/>
      <c r="FV15" s="124"/>
      <c r="FW15" s="124"/>
      <c r="FX15" s="124"/>
      <c r="FY15" s="124"/>
      <c r="FZ15" s="124"/>
      <c r="GA15" s="124"/>
      <c r="GB15" s="124"/>
      <c r="GC15" s="124"/>
      <c r="GD15" s="124"/>
      <c r="GE15" s="124"/>
      <c r="GF15" s="124"/>
      <c r="GG15" s="124"/>
      <c r="GH15" s="124"/>
      <c r="GI15" s="124"/>
      <c r="GJ15" s="124"/>
      <c r="GK15" s="124"/>
      <c r="GL15" s="124"/>
      <c r="GM15" s="124"/>
      <c r="GN15" s="124"/>
      <c r="GO15" s="124"/>
      <c r="GP15" s="124"/>
      <c r="GQ15" s="124"/>
      <c r="GR15" s="124"/>
      <c r="GS15" s="124"/>
      <c r="GT15" s="124"/>
      <c r="GU15" s="124"/>
      <c r="GV15" s="124"/>
      <c r="GW15" s="124"/>
      <c r="GX15" s="124"/>
      <c r="GY15" s="124"/>
      <c r="GZ15" s="124"/>
      <c r="HA15" s="124"/>
      <c r="HB15" s="124"/>
      <c r="HC15" s="124"/>
      <c r="HD15" s="124"/>
      <c r="HE15" s="124"/>
      <c r="HF15" s="124"/>
      <c r="HG15" s="124"/>
      <c r="HH15" s="124"/>
      <c r="HI15" s="124"/>
      <c r="HJ15" s="124"/>
      <c r="HK15" s="124"/>
      <c r="HL15" s="124"/>
      <c r="HM15" s="124"/>
      <c r="HN15" s="124"/>
      <c r="HO15" s="124"/>
      <c r="HP15" s="124"/>
      <c r="HQ15" s="124"/>
      <c r="HR15" s="124"/>
      <c r="HS15" s="124"/>
      <c r="HT15" s="124"/>
      <c r="HU15" s="124"/>
      <c r="HV15" s="124"/>
      <c r="HW15" s="124"/>
      <c r="HX15" s="124"/>
      <c r="HY15" s="124"/>
      <c r="HZ15" s="124"/>
      <c r="IA15" s="124"/>
      <c r="IB15" s="124"/>
      <c r="IC15" s="124"/>
      <c r="ID15" s="124"/>
      <c r="IE15" s="124"/>
      <c r="IF15" s="124"/>
      <c r="IG15" s="124"/>
      <c r="IH15" s="124"/>
      <c r="II15" s="124"/>
      <c r="IJ15" s="124"/>
      <c r="IK15" s="124"/>
      <c r="IL15" s="124"/>
      <c r="IM15" s="124"/>
      <c r="IN15" s="124"/>
      <c r="IO15" s="124"/>
      <c r="IP15" s="124"/>
      <c r="IQ15" s="124"/>
      <c r="IR15" s="124"/>
      <c r="IS15" s="124"/>
      <c r="IT15" s="124"/>
      <c r="IU15" s="124"/>
      <c r="IV15" s="124"/>
      <c r="IW15" s="124"/>
      <c r="IX15" s="124"/>
      <c r="IY15" s="124"/>
      <c r="IZ15" s="124"/>
      <c r="JA15" s="124"/>
      <c r="JB15" s="124"/>
      <c r="JC15" s="124"/>
      <c r="JD15" s="124"/>
      <c r="JE15" s="124"/>
      <c r="JF15" s="124"/>
      <c r="JG15" s="124"/>
      <c r="JH15" s="124"/>
      <c r="JI15" s="124"/>
      <c r="JJ15" s="124"/>
      <c r="JK15" s="124"/>
      <c r="JL15" s="124"/>
      <c r="JM15" s="124"/>
      <c r="JN15" s="124"/>
      <c r="JO15" s="124"/>
      <c r="JP15" s="124"/>
      <c r="JQ15" s="124"/>
      <c r="JR15" s="124"/>
      <c r="JS15" s="124"/>
      <c r="JT15" s="124"/>
      <c r="JU15" s="124"/>
      <c r="JV15" s="124"/>
      <c r="JW15" s="124"/>
      <c r="JX15" s="124"/>
      <c r="JY15" s="124"/>
      <c r="JZ15" s="124"/>
      <c r="KA15" s="124"/>
      <c r="KB15" s="124"/>
      <c r="KC15" s="124"/>
      <c r="KD15" s="124"/>
      <c r="KE15" s="124"/>
      <c r="KF15" s="124"/>
      <c r="KG15" s="124"/>
      <c r="KH15" s="124"/>
      <c r="KI15" s="124"/>
      <c r="KJ15" s="124"/>
      <c r="KK15" s="124"/>
      <c r="KL15" s="124"/>
      <c r="KM15" s="124"/>
      <c r="KN15" s="124"/>
      <c r="KO15" s="124"/>
      <c r="KP15" s="124"/>
      <c r="KQ15" s="124"/>
      <c r="KR15" s="124"/>
      <c r="KS15" s="124"/>
      <c r="KT15" s="124"/>
      <c r="KU15" s="124"/>
      <c r="KV15" s="124"/>
      <c r="KW15" s="124"/>
      <c r="KX15" s="124"/>
      <c r="KY15" s="124"/>
      <c r="KZ15" s="124"/>
      <c r="LA15" s="124"/>
      <c r="LB15" s="124"/>
      <c r="LC15" s="124"/>
      <c r="LD15" s="124"/>
      <c r="LE15" s="124"/>
      <c r="LF15" s="124"/>
      <c r="LG15" s="124"/>
      <c r="LH15" s="124"/>
      <c r="LI15" s="124"/>
      <c r="LJ15" s="124"/>
      <c r="LK15" s="124"/>
      <c r="LL15" s="124"/>
      <c r="LM15" s="124"/>
      <c r="LN15" s="124"/>
      <c r="LO15" s="124"/>
      <c r="LP15" s="124"/>
      <c r="LQ15" s="124"/>
      <c r="LR15" s="124"/>
      <c r="LS15" s="124"/>
      <c r="LT15" s="124"/>
      <c r="LU15" s="124"/>
      <c r="LV15" s="124"/>
      <c r="LW15" s="124"/>
      <c r="LX15" s="124"/>
      <c r="LY15" s="124"/>
      <c r="LZ15" s="124"/>
      <c r="MA15" s="124"/>
      <c r="MB15" s="124"/>
      <c r="MC15" s="124"/>
      <c r="MD15" s="124"/>
      <c r="ME15" s="124"/>
      <c r="MF15" s="124"/>
      <c r="MG15" s="124"/>
      <c r="MH15" s="124"/>
      <c r="MI15" s="124"/>
      <c r="MJ15" s="124"/>
      <c r="MK15" s="124"/>
      <c r="ML15" s="124"/>
      <c r="MM15" s="124"/>
      <c r="MN15" s="124"/>
      <c r="MO15" s="124"/>
      <c r="MP15" s="124"/>
      <c r="MQ15" s="124"/>
      <c r="MR15" s="124"/>
      <c r="MS15" s="124"/>
      <c r="MT15" s="124"/>
      <c r="MU15" s="124"/>
      <c r="MV15" s="124"/>
      <c r="MW15" s="124"/>
      <c r="MX15" s="124"/>
      <c r="MY15" s="124"/>
      <c r="MZ15" s="124"/>
      <c r="NA15" s="124"/>
      <c r="NB15" s="124"/>
      <c r="NC15" s="124"/>
      <c r="ND15" s="124"/>
      <c r="NE15" s="124"/>
      <c r="NF15" s="124"/>
      <c r="NI15" s="24"/>
      <c r="NK15" s="24"/>
      <c r="NL15" s="24"/>
      <c r="NM15" s="24"/>
      <c r="NO15" s="24"/>
      <c r="NP15" s="24"/>
    </row>
    <row r="16" spans="1:380" ht="16.5" thickBot="1" x14ac:dyDescent="0.3">
      <c r="B16" s="7" t="s">
        <v>12</v>
      </c>
      <c r="C16" s="9" t="s">
        <v>16</v>
      </c>
      <c r="D16" s="9" t="s">
        <v>16</v>
      </c>
      <c r="E16" s="9" t="s">
        <v>16</v>
      </c>
      <c r="F16" s="9" t="s">
        <v>16</v>
      </c>
      <c r="G16" s="9" t="s">
        <v>16</v>
      </c>
      <c r="H16" s="9" t="s">
        <v>16</v>
      </c>
      <c r="I16" s="9" t="s">
        <v>16</v>
      </c>
      <c r="J16" s="9" t="s">
        <v>16</v>
      </c>
      <c r="K16" s="9" t="s">
        <v>16</v>
      </c>
      <c r="L16" s="9" t="s">
        <v>16</v>
      </c>
      <c r="M16" s="9" t="s">
        <v>16</v>
      </c>
      <c r="N16" s="9" t="s">
        <v>16</v>
      </c>
      <c r="O16" s="9" t="s">
        <v>16</v>
      </c>
      <c r="P16" s="9" t="s">
        <v>16</v>
      </c>
      <c r="Q16" s="9" t="s">
        <v>16</v>
      </c>
      <c r="R16" s="9" t="s">
        <v>16</v>
      </c>
      <c r="S16" s="9" t="s">
        <v>16</v>
      </c>
      <c r="T16" s="9" t="s">
        <v>16</v>
      </c>
      <c r="U16" s="9" t="s">
        <v>16</v>
      </c>
      <c r="V16" s="9" t="s">
        <v>16</v>
      </c>
      <c r="W16" s="9" t="s">
        <v>16</v>
      </c>
      <c r="X16" s="9" t="s">
        <v>16</v>
      </c>
      <c r="Y16" s="9" t="s">
        <v>16</v>
      </c>
      <c r="Z16" s="9" t="s">
        <v>16</v>
      </c>
      <c r="AA16" s="9" t="s">
        <v>16</v>
      </c>
      <c r="AB16" s="9" t="s">
        <v>16</v>
      </c>
      <c r="AC16" s="9" t="s">
        <v>16</v>
      </c>
      <c r="AD16" s="9" t="s">
        <v>16</v>
      </c>
      <c r="AE16" s="9" t="s">
        <v>16</v>
      </c>
      <c r="AF16" s="9" t="s">
        <v>16</v>
      </c>
      <c r="AG16" s="9" t="s">
        <v>16</v>
      </c>
      <c r="AH16" s="9" t="s">
        <v>16</v>
      </c>
      <c r="AI16" s="9" t="s">
        <v>16</v>
      </c>
      <c r="AJ16" s="9" t="s">
        <v>16</v>
      </c>
      <c r="AK16" s="9" t="s">
        <v>16</v>
      </c>
      <c r="AL16" s="9" t="s">
        <v>16</v>
      </c>
      <c r="AM16" s="9" t="s">
        <v>16</v>
      </c>
      <c r="AN16" s="9" t="s">
        <v>16</v>
      </c>
      <c r="AO16" s="9" t="s">
        <v>16</v>
      </c>
      <c r="AP16" s="9" t="s">
        <v>16</v>
      </c>
      <c r="AQ16" s="9" t="s">
        <v>16</v>
      </c>
      <c r="AR16" s="9" t="s">
        <v>16</v>
      </c>
      <c r="AS16" s="9" t="s">
        <v>16</v>
      </c>
      <c r="AT16" s="9" t="s">
        <v>16</v>
      </c>
      <c r="AU16" s="9" t="s">
        <v>16</v>
      </c>
      <c r="AV16" s="9" t="s">
        <v>16</v>
      </c>
      <c r="AW16" s="9" t="s">
        <v>16</v>
      </c>
      <c r="AX16" s="9" t="s">
        <v>16</v>
      </c>
      <c r="AY16" s="9" t="s">
        <v>16</v>
      </c>
      <c r="AZ16" s="9" t="s">
        <v>16</v>
      </c>
      <c r="BA16" s="9" t="s">
        <v>16</v>
      </c>
      <c r="BB16" s="9" t="s">
        <v>16</v>
      </c>
      <c r="BC16" s="9" t="s">
        <v>16</v>
      </c>
      <c r="BD16" s="9" t="s">
        <v>16</v>
      </c>
      <c r="BE16" s="9" t="s">
        <v>16</v>
      </c>
      <c r="BF16" s="9" t="s">
        <v>16</v>
      </c>
      <c r="BG16" s="9" t="s">
        <v>16</v>
      </c>
      <c r="BH16" s="9" t="s">
        <v>16</v>
      </c>
      <c r="BI16" s="9" t="s">
        <v>16</v>
      </c>
      <c r="BJ16" s="9" t="s">
        <v>16</v>
      </c>
      <c r="BK16" s="9" t="s">
        <v>16</v>
      </c>
      <c r="BL16" s="9" t="s">
        <v>16</v>
      </c>
      <c r="BM16" s="9" t="s">
        <v>16</v>
      </c>
      <c r="BN16" s="9" t="s">
        <v>16</v>
      </c>
      <c r="BO16" s="9" t="s">
        <v>16</v>
      </c>
      <c r="BP16" s="9" t="s">
        <v>16</v>
      </c>
      <c r="BQ16" s="9" t="s">
        <v>16</v>
      </c>
      <c r="BR16" s="9" t="s">
        <v>16</v>
      </c>
      <c r="BS16" s="9" t="s">
        <v>16</v>
      </c>
      <c r="BT16" s="9" t="s">
        <v>16</v>
      </c>
      <c r="BU16" s="9" t="s">
        <v>16</v>
      </c>
      <c r="BV16" s="9" t="s">
        <v>16</v>
      </c>
      <c r="BW16" s="9" t="s">
        <v>16</v>
      </c>
      <c r="BX16" s="9" t="s">
        <v>16</v>
      </c>
      <c r="BY16" s="9" t="s">
        <v>16</v>
      </c>
      <c r="BZ16" s="9" t="s">
        <v>16</v>
      </c>
      <c r="CA16" s="9" t="s">
        <v>16</v>
      </c>
      <c r="CB16" s="9" t="s">
        <v>16</v>
      </c>
      <c r="CC16" s="9" t="s">
        <v>16</v>
      </c>
      <c r="CD16" s="9" t="s">
        <v>16</v>
      </c>
      <c r="CE16" s="9" t="s">
        <v>16</v>
      </c>
      <c r="CF16" s="9" t="s">
        <v>16</v>
      </c>
      <c r="CG16" s="9" t="s">
        <v>16</v>
      </c>
      <c r="CH16" s="9" t="s">
        <v>16</v>
      </c>
      <c r="CI16" s="9" t="s">
        <v>16</v>
      </c>
      <c r="CJ16" s="9" t="s">
        <v>16</v>
      </c>
      <c r="CK16" s="9" t="s">
        <v>16</v>
      </c>
      <c r="CL16" s="9" t="s">
        <v>16</v>
      </c>
      <c r="CM16" s="9" t="s">
        <v>16</v>
      </c>
      <c r="CN16" s="9" t="s">
        <v>16</v>
      </c>
      <c r="CO16" s="9" t="s">
        <v>16</v>
      </c>
      <c r="CP16" s="9" t="s">
        <v>16</v>
      </c>
      <c r="CQ16" s="9" t="s">
        <v>16</v>
      </c>
      <c r="CR16" s="9" t="s">
        <v>16</v>
      </c>
      <c r="CS16" s="9" t="s">
        <v>16</v>
      </c>
      <c r="CT16" s="9" t="s">
        <v>16</v>
      </c>
      <c r="CU16" s="9" t="s">
        <v>16</v>
      </c>
      <c r="CV16" s="9" t="s">
        <v>16</v>
      </c>
      <c r="CW16" s="9" t="s">
        <v>16</v>
      </c>
      <c r="CX16" s="9" t="s">
        <v>16</v>
      </c>
      <c r="CY16" s="9" t="s">
        <v>16</v>
      </c>
      <c r="CZ16" s="9" t="s">
        <v>16</v>
      </c>
      <c r="DA16" s="9" t="s">
        <v>16</v>
      </c>
      <c r="DB16" s="9" t="s">
        <v>16</v>
      </c>
      <c r="DC16" s="9" t="s">
        <v>16</v>
      </c>
      <c r="DD16" s="9" t="s">
        <v>16</v>
      </c>
      <c r="DE16" s="9" t="s">
        <v>16</v>
      </c>
      <c r="DF16" s="9" t="s">
        <v>16</v>
      </c>
      <c r="DG16" s="9" t="s">
        <v>16</v>
      </c>
      <c r="DH16" s="9" t="s">
        <v>16</v>
      </c>
      <c r="DI16" s="9" t="s">
        <v>16</v>
      </c>
      <c r="DJ16" s="9" t="s">
        <v>16</v>
      </c>
      <c r="DK16" s="9" t="s">
        <v>16</v>
      </c>
      <c r="DL16" s="9" t="s">
        <v>16</v>
      </c>
      <c r="DM16" s="9" t="s">
        <v>16</v>
      </c>
      <c r="DN16" s="9" t="s">
        <v>16</v>
      </c>
      <c r="DO16" s="9" t="s">
        <v>16</v>
      </c>
      <c r="DP16" s="9" t="s">
        <v>16</v>
      </c>
      <c r="DQ16" s="9" t="s">
        <v>16</v>
      </c>
      <c r="DR16" s="9" t="s">
        <v>16</v>
      </c>
      <c r="DS16" s="9" t="s">
        <v>16</v>
      </c>
      <c r="DT16" s="9" t="s">
        <v>16</v>
      </c>
      <c r="DU16" s="9" t="s">
        <v>16</v>
      </c>
      <c r="DV16" s="9" t="s">
        <v>16</v>
      </c>
      <c r="DW16" s="9" t="s">
        <v>16</v>
      </c>
      <c r="DX16" s="9" t="s">
        <v>16</v>
      </c>
      <c r="DY16" s="9" t="s">
        <v>16</v>
      </c>
      <c r="DZ16" s="9" t="s">
        <v>16</v>
      </c>
      <c r="EA16" s="9" t="s">
        <v>16</v>
      </c>
      <c r="EB16" s="9" t="s">
        <v>16</v>
      </c>
      <c r="EC16" s="9" t="s">
        <v>16</v>
      </c>
      <c r="ED16" s="9" t="s">
        <v>16</v>
      </c>
      <c r="EE16" s="9" t="s">
        <v>16</v>
      </c>
      <c r="EF16" s="9" t="s">
        <v>16</v>
      </c>
      <c r="EG16" s="9" t="s">
        <v>16</v>
      </c>
      <c r="EH16" s="9" t="s">
        <v>16</v>
      </c>
      <c r="EI16" s="9" t="s">
        <v>16</v>
      </c>
      <c r="EJ16" s="9" t="s">
        <v>16</v>
      </c>
      <c r="EK16" s="9" t="s">
        <v>16</v>
      </c>
      <c r="EL16" s="9" t="s">
        <v>16</v>
      </c>
      <c r="EM16" s="9" t="s">
        <v>16</v>
      </c>
      <c r="EN16" s="9" t="s">
        <v>16</v>
      </c>
      <c r="EO16" s="9" t="s">
        <v>16</v>
      </c>
      <c r="EP16" s="9" t="s">
        <v>16</v>
      </c>
      <c r="EQ16" s="9" t="s">
        <v>16</v>
      </c>
      <c r="ER16" s="9" t="s">
        <v>16</v>
      </c>
      <c r="ES16" s="9" t="s">
        <v>16</v>
      </c>
      <c r="ET16" s="9" t="s">
        <v>16</v>
      </c>
      <c r="EU16" s="9" t="s">
        <v>16</v>
      </c>
      <c r="EV16" s="9" t="s">
        <v>16</v>
      </c>
      <c r="EW16" s="9" t="s">
        <v>16</v>
      </c>
      <c r="EX16" s="9" t="s">
        <v>16</v>
      </c>
      <c r="EY16" s="9" t="s">
        <v>16</v>
      </c>
      <c r="EZ16" s="9" t="s">
        <v>16</v>
      </c>
      <c r="FA16" s="9" t="s">
        <v>16</v>
      </c>
      <c r="FB16" s="9" t="s">
        <v>16</v>
      </c>
      <c r="FC16" s="9" t="s">
        <v>16</v>
      </c>
      <c r="FD16" s="9" t="s">
        <v>16</v>
      </c>
      <c r="FE16" s="9" t="s">
        <v>16</v>
      </c>
      <c r="FF16" s="9" t="s">
        <v>16</v>
      </c>
      <c r="FG16" s="9" t="s">
        <v>16</v>
      </c>
      <c r="FH16" s="9" t="s">
        <v>16</v>
      </c>
      <c r="FI16" s="9" t="s">
        <v>16</v>
      </c>
      <c r="FJ16" s="9" t="s">
        <v>16</v>
      </c>
      <c r="FK16" s="9" t="s">
        <v>16</v>
      </c>
      <c r="FL16" s="9" t="s">
        <v>16</v>
      </c>
      <c r="FM16" s="9" t="s">
        <v>16</v>
      </c>
      <c r="FN16" s="9" t="s">
        <v>16</v>
      </c>
      <c r="FO16" s="9" t="s">
        <v>16</v>
      </c>
      <c r="FP16" s="9" t="s">
        <v>16</v>
      </c>
      <c r="FQ16" s="9" t="s">
        <v>16</v>
      </c>
      <c r="FR16" s="9" t="s">
        <v>16</v>
      </c>
      <c r="FS16" s="9" t="s">
        <v>16</v>
      </c>
      <c r="FT16" s="9" t="s">
        <v>16</v>
      </c>
      <c r="FU16" s="9" t="s">
        <v>16</v>
      </c>
      <c r="FV16" s="9" t="s">
        <v>16</v>
      </c>
      <c r="FW16" s="9" t="s">
        <v>16</v>
      </c>
      <c r="FX16" s="9" t="s">
        <v>16</v>
      </c>
      <c r="FY16" s="9" t="s">
        <v>16</v>
      </c>
      <c r="FZ16" s="9" t="s">
        <v>16</v>
      </c>
      <c r="GA16" s="9" t="s">
        <v>16</v>
      </c>
      <c r="GB16" s="9" t="s">
        <v>16</v>
      </c>
      <c r="GC16" s="9" t="s">
        <v>16</v>
      </c>
      <c r="GD16" s="9" t="s">
        <v>16</v>
      </c>
      <c r="GE16" s="9" t="s">
        <v>16</v>
      </c>
      <c r="GF16" s="9" t="s">
        <v>16</v>
      </c>
      <c r="GG16" s="9" t="s">
        <v>16</v>
      </c>
      <c r="GH16" s="9" t="s">
        <v>16</v>
      </c>
      <c r="GI16" s="9" t="s">
        <v>16</v>
      </c>
      <c r="GJ16" s="9" t="s">
        <v>16</v>
      </c>
      <c r="GK16" s="9" t="s">
        <v>16</v>
      </c>
      <c r="GL16" s="9" t="s">
        <v>16</v>
      </c>
      <c r="GM16" s="9" t="s">
        <v>16</v>
      </c>
      <c r="GN16" s="9" t="s">
        <v>16</v>
      </c>
      <c r="GO16" s="9" t="s">
        <v>16</v>
      </c>
      <c r="GP16" s="9" t="s">
        <v>16</v>
      </c>
      <c r="GQ16" s="9" t="s">
        <v>16</v>
      </c>
      <c r="GR16" s="9" t="s">
        <v>16</v>
      </c>
      <c r="GS16" s="9" t="s">
        <v>16</v>
      </c>
      <c r="GT16" s="9" t="s">
        <v>16</v>
      </c>
      <c r="GU16" s="9" t="s">
        <v>16</v>
      </c>
      <c r="GV16" s="9" t="s">
        <v>16</v>
      </c>
      <c r="GW16" s="9" t="s">
        <v>16</v>
      </c>
      <c r="GX16" s="9" t="s">
        <v>16</v>
      </c>
      <c r="GY16" s="9" t="s">
        <v>16</v>
      </c>
      <c r="GZ16" s="9" t="s">
        <v>16</v>
      </c>
      <c r="HA16" s="9" t="s">
        <v>16</v>
      </c>
      <c r="HB16" s="9" t="s">
        <v>16</v>
      </c>
      <c r="HC16" s="9" t="s">
        <v>16</v>
      </c>
      <c r="HD16" s="9" t="s">
        <v>16</v>
      </c>
      <c r="HE16" s="9" t="s">
        <v>16</v>
      </c>
      <c r="HF16" s="9" t="s">
        <v>16</v>
      </c>
      <c r="HG16" s="9" t="s">
        <v>16</v>
      </c>
      <c r="HH16" s="9" t="s">
        <v>16</v>
      </c>
      <c r="HI16" s="9" t="s">
        <v>16</v>
      </c>
      <c r="HJ16" s="9" t="s">
        <v>16</v>
      </c>
      <c r="HK16" s="9" t="s">
        <v>16</v>
      </c>
      <c r="HL16" s="9" t="s">
        <v>16</v>
      </c>
      <c r="HM16" s="9" t="s">
        <v>16</v>
      </c>
      <c r="HN16" s="9" t="s">
        <v>16</v>
      </c>
      <c r="HO16" s="9" t="s">
        <v>16</v>
      </c>
      <c r="HP16" s="9" t="s">
        <v>16</v>
      </c>
      <c r="HQ16" s="9" t="s">
        <v>16</v>
      </c>
      <c r="HR16" s="9" t="s">
        <v>16</v>
      </c>
      <c r="HS16" s="9" t="s">
        <v>16</v>
      </c>
      <c r="HT16" s="9" t="s">
        <v>16</v>
      </c>
      <c r="HU16" s="9" t="s">
        <v>16</v>
      </c>
      <c r="HV16" s="9" t="s">
        <v>16</v>
      </c>
      <c r="HW16" s="9" t="s">
        <v>16</v>
      </c>
      <c r="HX16" s="9" t="s">
        <v>16</v>
      </c>
      <c r="HY16" s="9" t="s">
        <v>16</v>
      </c>
      <c r="HZ16" s="9" t="s">
        <v>16</v>
      </c>
      <c r="IA16" s="9" t="s">
        <v>16</v>
      </c>
      <c r="IB16" s="9" t="s">
        <v>16</v>
      </c>
      <c r="IC16" s="9" t="s">
        <v>16</v>
      </c>
      <c r="ID16" s="9" t="s">
        <v>16</v>
      </c>
      <c r="IE16" s="9" t="s">
        <v>16</v>
      </c>
      <c r="IF16" s="9" t="s">
        <v>16</v>
      </c>
      <c r="IG16" s="9" t="s">
        <v>16</v>
      </c>
      <c r="IH16" s="9" t="s">
        <v>16</v>
      </c>
      <c r="II16" s="9" t="s">
        <v>16</v>
      </c>
      <c r="IJ16" s="9" t="s">
        <v>16</v>
      </c>
      <c r="IK16" s="9" t="s">
        <v>16</v>
      </c>
      <c r="IL16" s="9" t="s">
        <v>16</v>
      </c>
      <c r="IM16" s="9" t="s">
        <v>16</v>
      </c>
      <c r="IN16" s="9" t="s">
        <v>16</v>
      </c>
      <c r="IO16" s="9" t="s">
        <v>16</v>
      </c>
      <c r="IP16" s="9" t="s">
        <v>16</v>
      </c>
      <c r="IQ16" s="9" t="s">
        <v>16</v>
      </c>
      <c r="IR16" s="9" t="s">
        <v>16</v>
      </c>
      <c r="IS16" s="9" t="s">
        <v>16</v>
      </c>
      <c r="IT16" s="9" t="s">
        <v>16</v>
      </c>
      <c r="IU16" s="9" t="s">
        <v>16</v>
      </c>
      <c r="IV16" s="9" t="s">
        <v>16</v>
      </c>
      <c r="IW16" s="9" t="s">
        <v>16</v>
      </c>
      <c r="IX16" s="9" t="s">
        <v>16</v>
      </c>
      <c r="IY16" s="9" t="s">
        <v>16</v>
      </c>
      <c r="IZ16" s="9" t="s">
        <v>16</v>
      </c>
      <c r="JA16" s="9" t="s">
        <v>16</v>
      </c>
      <c r="JB16" s="9" t="s">
        <v>16</v>
      </c>
      <c r="JC16" s="9" t="s">
        <v>16</v>
      </c>
      <c r="JD16" s="9" t="s">
        <v>16</v>
      </c>
      <c r="JE16" s="9" t="s">
        <v>16</v>
      </c>
      <c r="JF16" s="9" t="s">
        <v>16</v>
      </c>
      <c r="JG16" s="9" t="s">
        <v>16</v>
      </c>
      <c r="JH16" s="9" t="s">
        <v>16</v>
      </c>
      <c r="JI16" s="9" t="s">
        <v>16</v>
      </c>
      <c r="JJ16" s="9" t="s">
        <v>16</v>
      </c>
      <c r="JK16" s="9" t="s">
        <v>16</v>
      </c>
      <c r="JL16" s="9" t="s">
        <v>16</v>
      </c>
      <c r="JM16" s="9" t="s">
        <v>16</v>
      </c>
      <c r="JN16" s="9" t="s">
        <v>16</v>
      </c>
      <c r="JO16" s="9" t="s">
        <v>16</v>
      </c>
      <c r="JP16" s="9" t="s">
        <v>16</v>
      </c>
      <c r="JQ16" s="9" t="s">
        <v>16</v>
      </c>
      <c r="JR16" s="9" t="s">
        <v>16</v>
      </c>
      <c r="JS16" s="9" t="s">
        <v>16</v>
      </c>
      <c r="JT16" s="9" t="s">
        <v>16</v>
      </c>
      <c r="JU16" s="9" t="s">
        <v>16</v>
      </c>
      <c r="JV16" s="9" t="s">
        <v>16</v>
      </c>
      <c r="JW16" s="9" t="s">
        <v>16</v>
      </c>
      <c r="JX16" s="9" t="s">
        <v>16</v>
      </c>
      <c r="JY16" s="9" t="s">
        <v>16</v>
      </c>
      <c r="JZ16" s="9" t="s">
        <v>16</v>
      </c>
      <c r="KA16" s="9" t="s">
        <v>16</v>
      </c>
      <c r="KB16" s="9" t="s">
        <v>16</v>
      </c>
      <c r="KC16" s="9" t="s">
        <v>16</v>
      </c>
      <c r="KD16" s="9" t="s">
        <v>16</v>
      </c>
      <c r="KE16" s="9" t="s">
        <v>16</v>
      </c>
      <c r="KF16" s="9" t="s">
        <v>16</v>
      </c>
      <c r="KG16" s="9" t="s">
        <v>16</v>
      </c>
      <c r="KH16" s="9" t="s">
        <v>16</v>
      </c>
      <c r="KI16" s="9" t="s">
        <v>16</v>
      </c>
      <c r="KJ16" s="9" t="s">
        <v>16</v>
      </c>
      <c r="KK16" s="9" t="s">
        <v>16</v>
      </c>
      <c r="KL16" s="9" t="s">
        <v>16</v>
      </c>
      <c r="KM16" s="9" t="s">
        <v>16</v>
      </c>
      <c r="KN16" s="9" t="s">
        <v>16</v>
      </c>
      <c r="KO16" s="9" t="s">
        <v>16</v>
      </c>
      <c r="KP16" s="9" t="s">
        <v>16</v>
      </c>
      <c r="KQ16" s="9" t="s">
        <v>16</v>
      </c>
      <c r="KR16" s="9" t="s">
        <v>16</v>
      </c>
      <c r="KS16" s="9" t="s">
        <v>16</v>
      </c>
      <c r="KT16" s="9" t="s">
        <v>16</v>
      </c>
      <c r="KU16" s="9" t="s">
        <v>16</v>
      </c>
      <c r="KV16" s="9" t="s">
        <v>16</v>
      </c>
      <c r="KW16" s="9" t="s">
        <v>16</v>
      </c>
      <c r="KX16" s="9" t="s">
        <v>16</v>
      </c>
      <c r="KY16" s="9" t="s">
        <v>16</v>
      </c>
      <c r="KZ16" s="9" t="s">
        <v>16</v>
      </c>
      <c r="LA16" s="9" t="s">
        <v>16</v>
      </c>
      <c r="LB16" s="9" t="s">
        <v>16</v>
      </c>
      <c r="LC16" s="9" t="s">
        <v>16</v>
      </c>
      <c r="LD16" s="9" t="s">
        <v>16</v>
      </c>
      <c r="LE16" s="9" t="s">
        <v>16</v>
      </c>
      <c r="LF16" s="9" t="s">
        <v>16</v>
      </c>
      <c r="LG16" s="9" t="s">
        <v>16</v>
      </c>
      <c r="LH16" s="9" t="s">
        <v>16</v>
      </c>
      <c r="LI16" s="9" t="s">
        <v>16</v>
      </c>
      <c r="LJ16" s="9" t="s">
        <v>16</v>
      </c>
      <c r="LK16" s="9" t="s">
        <v>16</v>
      </c>
      <c r="LL16" s="9" t="s">
        <v>16</v>
      </c>
      <c r="LM16" s="9" t="s">
        <v>16</v>
      </c>
      <c r="LN16" s="9" t="s">
        <v>16</v>
      </c>
      <c r="LO16" s="9" t="s">
        <v>16</v>
      </c>
      <c r="LP16" s="9" t="s">
        <v>16</v>
      </c>
      <c r="LQ16" s="9" t="s">
        <v>16</v>
      </c>
      <c r="LR16" s="9" t="s">
        <v>16</v>
      </c>
      <c r="LS16" s="9" t="s">
        <v>16</v>
      </c>
      <c r="LT16" s="9" t="s">
        <v>16</v>
      </c>
      <c r="LU16" s="9" t="s">
        <v>16</v>
      </c>
      <c r="LV16" s="9" t="s">
        <v>16</v>
      </c>
      <c r="LW16" s="9" t="s">
        <v>16</v>
      </c>
      <c r="LX16" s="9" t="s">
        <v>16</v>
      </c>
      <c r="LY16" s="9" t="s">
        <v>16</v>
      </c>
      <c r="LZ16" s="9" t="s">
        <v>16</v>
      </c>
      <c r="MA16" s="9" t="s">
        <v>16</v>
      </c>
      <c r="MB16" s="9" t="s">
        <v>16</v>
      </c>
      <c r="MC16" s="9" t="s">
        <v>16</v>
      </c>
      <c r="MD16" s="9" t="s">
        <v>16</v>
      </c>
      <c r="ME16" s="9" t="s">
        <v>16</v>
      </c>
      <c r="MF16" s="9" t="s">
        <v>16</v>
      </c>
      <c r="MG16" s="9" t="s">
        <v>16</v>
      </c>
      <c r="MH16" s="9" t="s">
        <v>16</v>
      </c>
      <c r="MI16" s="9" t="s">
        <v>16</v>
      </c>
      <c r="MJ16" s="9" t="s">
        <v>16</v>
      </c>
      <c r="MK16" s="9" t="s">
        <v>16</v>
      </c>
      <c r="ML16" s="9" t="s">
        <v>16</v>
      </c>
      <c r="MM16" s="9" t="s">
        <v>16</v>
      </c>
      <c r="MN16" s="9" t="s">
        <v>16</v>
      </c>
      <c r="MO16" s="9" t="s">
        <v>16</v>
      </c>
      <c r="MP16" s="9" t="s">
        <v>16</v>
      </c>
      <c r="MQ16" s="9" t="s">
        <v>16</v>
      </c>
      <c r="MR16" s="9" t="s">
        <v>16</v>
      </c>
      <c r="MS16" s="9" t="s">
        <v>16</v>
      </c>
      <c r="MT16" s="9" t="s">
        <v>16</v>
      </c>
      <c r="MU16" s="9" t="s">
        <v>16</v>
      </c>
      <c r="MV16" s="9" t="s">
        <v>16</v>
      </c>
      <c r="MW16" s="9" t="s">
        <v>16</v>
      </c>
      <c r="MX16" s="9" t="s">
        <v>16</v>
      </c>
      <c r="MY16" s="9" t="s">
        <v>16</v>
      </c>
      <c r="MZ16" s="9" t="s">
        <v>16</v>
      </c>
      <c r="NA16" s="9" t="s">
        <v>16</v>
      </c>
      <c r="NB16" s="9" t="s">
        <v>16</v>
      </c>
      <c r="NC16" s="9" t="s">
        <v>16</v>
      </c>
      <c r="ND16" s="9" t="s">
        <v>16</v>
      </c>
      <c r="NE16" s="9" t="s">
        <v>16</v>
      </c>
      <c r="NF16" s="9" t="s">
        <v>16</v>
      </c>
    </row>
    <row r="17" spans="2:380" ht="15.75" x14ac:dyDescent="0.25">
      <c r="B17" s="15">
        <v>521</v>
      </c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2"/>
      <c r="BE17" s="122"/>
      <c r="BF17" s="122"/>
      <c r="BG17" s="122"/>
      <c r="BH17" s="122"/>
      <c r="BI17" s="122"/>
      <c r="BJ17" s="122"/>
      <c r="BK17" s="122"/>
      <c r="BL17" s="122"/>
      <c r="BM17" s="122"/>
      <c r="BN17" s="122"/>
      <c r="BO17" s="122"/>
      <c r="BP17" s="122"/>
      <c r="BQ17" s="122"/>
      <c r="BR17" s="122"/>
      <c r="BS17" s="122"/>
      <c r="BT17" s="122"/>
      <c r="BU17" s="122"/>
      <c r="BV17" s="122"/>
      <c r="BW17" s="122"/>
      <c r="BX17" s="122"/>
      <c r="BY17" s="122"/>
      <c r="BZ17" s="122"/>
      <c r="CA17" s="122"/>
      <c r="CB17" s="122"/>
      <c r="CC17" s="122"/>
      <c r="CD17" s="122"/>
      <c r="CE17" s="122"/>
      <c r="CF17" s="122"/>
      <c r="CG17" s="122"/>
      <c r="CH17" s="122"/>
      <c r="CI17" s="122"/>
      <c r="CJ17" s="122"/>
      <c r="CK17" s="122"/>
      <c r="CL17" s="122"/>
      <c r="CM17" s="122"/>
      <c r="CN17" s="122"/>
      <c r="CO17" s="122"/>
      <c r="CP17" s="122"/>
      <c r="CQ17" s="122"/>
      <c r="CR17" s="122"/>
      <c r="CS17" s="122"/>
      <c r="CT17" s="122"/>
      <c r="CU17" s="122"/>
      <c r="CV17" s="122"/>
      <c r="CW17" s="122"/>
      <c r="CX17" s="122"/>
      <c r="CY17" s="122"/>
      <c r="CZ17" s="122"/>
      <c r="DA17" s="122"/>
      <c r="DB17" s="122"/>
      <c r="DC17" s="122"/>
      <c r="DD17" s="122"/>
      <c r="DE17" s="122"/>
      <c r="DF17" s="122"/>
      <c r="DG17" s="122"/>
      <c r="DH17" s="122"/>
      <c r="DI17" s="122"/>
      <c r="DJ17" s="122"/>
      <c r="DK17" s="122"/>
      <c r="DL17" s="122"/>
      <c r="DM17" s="122"/>
      <c r="DN17" s="122"/>
      <c r="DO17" s="122"/>
      <c r="DP17" s="122"/>
      <c r="DQ17" s="122"/>
      <c r="DR17" s="122"/>
      <c r="DS17" s="122"/>
      <c r="DT17" s="122"/>
      <c r="DU17" s="122"/>
      <c r="DV17" s="122"/>
      <c r="DW17" s="122"/>
      <c r="DX17" s="122"/>
      <c r="DY17" s="122"/>
      <c r="DZ17" s="122"/>
      <c r="EA17" s="122"/>
      <c r="EB17" s="122"/>
      <c r="EC17" s="122"/>
      <c r="ED17" s="122"/>
      <c r="EE17" s="122"/>
      <c r="EF17" s="122"/>
      <c r="EG17" s="122"/>
      <c r="EH17" s="122"/>
      <c r="EI17" s="122"/>
      <c r="EJ17" s="122"/>
      <c r="EK17" s="122"/>
      <c r="EL17" s="122"/>
      <c r="EM17" s="122"/>
      <c r="EN17" s="122"/>
      <c r="EO17" s="122"/>
      <c r="EP17" s="122"/>
      <c r="EQ17" s="122"/>
      <c r="ER17" s="122"/>
      <c r="ES17" s="122"/>
      <c r="ET17" s="122"/>
      <c r="EU17" s="122"/>
      <c r="EV17" s="122"/>
      <c r="EW17" s="122"/>
      <c r="EX17" s="122"/>
      <c r="EY17" s="122"/>
      <c r="EZ17" s="122"/>
      <c r="FA17" s="122"/>
      <c r="FB17" s="122"/>
      <c r="FC17" s="122"/>
      <c r="FD17" s="122"/>
      <c r="FE17" s="122"/>
      <c r="FF17" s="122"/>
      <c r="FG17" s="122"/>
      <c r="FH17" s="122"/>
      <c r="FI17" s="122"/>
      <c r="FJ17" s="122"/>
      <c r="FK17" s="122"/>
      <c r="FL17" s="122"/>
      <c r="FM17" s="122"/>
      <c r="FN17" s="122"/>
      <c r="FO17" s="122"/>
      <c r="FP17" s="122"/>
      <c r="FQ17" s="122"/>
      <c r="FR17" s="122"/>
      <c r="FS17" s="122"/>
      <c r="FT17" s="122"/>
      <c r="FU17" s="122"/>
      <c r="FV17" s="122"/>
      <c r="FW17" s="122"/>
      <c r="FX17" s="122"/>
      <c r="FY17" s="122"/>
      <c r="FZ17" s="122"/>
      <c r="GA17" s="122"/>
      <c r="GB17" s="122"/>
      <c r="GC17" s="122"/>
      <c r="GD17" s="122"/>
      <c r="GE17" s="122"/>
      <c r="GF17" s="122"/>
      <c r="GG17" s="122"/>
      <c r="GH17" s="122"/>
      <c r="GI17" s="122"/>
      <c r="GJ17" s="122"/>
      <c r="GK17" s="122"/>
      <c r="GL17" s="122"/>
      <c r="GM17" s="122"/>
      <c r="GN17" s="122"/>
      <c r="GO17" s="122"/>
      <c r="GP17" s="122"/>
      <c r="GQ17" s="122"/>
      <c r="GR17" s="122"/>
      <c r="GS17" s="122"/>
      <c r="GT17" s="122"/>
      <c r="GU17" s="122"/>
      <c r="GV17" s="122"/>
      <c r="GW17" s="122"/>
      <c r="GX17" s="122"/>
      <c r="GY17" s="122"/>
      <c r="GZ17" s="122"/>
      <c r="HA17" s="122"/>
      <c r="HB17" s="122"/>
      <c r="HC17" s="122"/>
      <c r="HD17" s="122"/>
      <c r="HE17" s="122"/>
      <c r="HF17" s="122"/>
      <c r="HG17" s="122"/>
      <c r="HH17" s="122"/>
      <c r="HI17" s="122"/>
      <c r="HJ17" s="122"/>
      <c r="HK17" s="122"/>
      <c r="HL17" s="122"/>
      <c r="HM17" s="122"/>
      <c r="HN17" s="122"/>
      <c r="HO17" s="122"/>
      <c r="HP17" s="122"/>
      <c r="HQ17" s="122"/>
      <c r="HR17" s="122"/>
      <c r="HS17" s="122"/>
      <c r="HT17" s="122"/>
      <c r="HU17" s="122"/>
      <c r="HV17" s="122"/>
      <c r="HW17" s="122"/>
      <c r="HX17" s="122"/>
      <c r="HY17" s="122"/>
      <c r="HZ17" s="122"/>
      <c r="IA17" s="122"/>
      <c r="IB17" s="122"/>
      <c r="IC17" s="122"/>
      <c r="ID17" s="122"/>
      <c r="IE17" s="122"/>
      <c r="IF17" s="122"/>
      <c r="IG17" s="122"/>
      <c r="IH17" s="122"/>
      <c r="II17" s="122"/>
      <c r="IJ17" s="122"/>
      <c r="IK17" s="122"/>
      <c r="IL17" s="122"/>
      <c r="IM17" s="122"/>
      <c r="IN17" s="122"/>
      <c r="IO17" s="122"/>
      <c r="IP17" s="122"/>
      <c r="IQ17" s="122"/>
      <c r="IR17" s="122"/>
      <c r="IS17" s="122"/>
      <c r="IT17" s="122"/>
      <c r="IU17" s="122"/>
      <c r="IV17" s="122"/>
      <c r="IW17" s="122"/>
      <c r="IX17" s="122"/>
      <c r="IY17" s="122"/>
      <c r="IZ17" s="122"/>
      <c r="JA17" s="122"/>
      <c r="JB17" s="122"/>
      <c r="JC17" s="122"/>
      <c r="JD17" s="122"/>
      <c r="JE17" s="122"/>
      <c r="JF17" s="122"/>
      <c r="JG17" s="122"/>
      <c r="JH17" s="122"/>
      <c r="JI17" s="122"/>
      <c r="JJ17" s="122"/>
      <c r="JK17" s="122"/>
      <c r="JL17" s="122"/>
      <c r="JM17" s="122"/>
      <c r="JN17" s="122"/>
      <c r="JO17" s="122"/>
      <c r="JP17" s="122"/>
      <c r="JQ17" s="122"/>
      <c r="JR17" s="122"/>
      <c r="JS17" s="122"/>
      <c r="JT17" s="122"/>
      <c r="JU17" s="122"/>
      <c r="JV17" s="122"/>
      <c r="JW17" s="122"/>
      <c r="JX17" s="122"/>
      <c r="JY17" s="122"/>
      <c r="JZ17" s="122"/>
      <c r="KA17" s="122"/>
      <c r="KB17" s="122"/>
      <c r="KC17" s="122"/>
      <c r="KD17" s="122"/>
      <c r="KE17" s="122"/>
      <c r="KF17" s="122"/>
      <c r="KG17" s="122"/>
      <c r="KH17" s="122"/>
      <c r="KI17" s="122"/>
      <c r="KJ17" s="122"/>
      <c r="KK17" s="122"/>
      <c r="KL17" s="122"/>
      <c r="KM17" s="122"/>
      <c r="KN17" s="122"/>
      <c r="KO17" s="122"/>
      <c r="KP17" s="122"/>
      <c r="KQ17" s="122"/>
      <c r="KR17" s="122"/>
      <c r="KS17" s="122"/>
      <c r="KT17" s="122"/>
      <c r="KU17" s="122"/>
      <c r="KV17" s="122"/>
      <c r="KW17" s="122"/>
      <c r="KX17" s="122"/>
      <c r="KY17" s="122"/>
      <c r="KZ17" s="122"/>
      <c r="LA17" s="122"/>
      <c r="LB17" s="122"/>
      <c r="LC17" s="122"/>
      <c r="LD17" s="122"/>
      <c r="LE17" s="122"/>
      <c r="LF17" s="122"/>
      <c r="LG17" s="122"/>
      <c r="LH17" s="122"/>
      <c r="LI17" s="122"/>
      <c r="LJ17" s="122"/>
      <c r="LK17" s="122"/>
      <c r="LL17" s="122"/>
      <c r="LM17" s="122"/>
      <c r="LN17" s="122"/>
      <c r="LO17" s="122"/>
      <c r="LP17" s="122"/>
      <c r="LQ17" s="122"/>
      <c r="LR17" s="122"/>
      <c r="LS17" s="122"/>
      <c r="LT17" s="122"/>
      <c r="LU17" s="122"/>
      <c r="LV17" s="122"/>
      <c r="LW17" s="122"/>
      <c r="LX17" s="122"/>
      <c r="LY17" s="122"/>
      <c r="LZ17" s="122"/>
      <c r="MA17" s="122"/>
      <c r="MB17" s="122"/>
      <c r="MC17" s="122"/>
      <c r="MD17" s="122"/>
      <c r="ME17" s="122"/>
      <c r="MF17" s="122"/>
      <c r="MG17" s="122"/>
      <c r="MH17" s="122"/>
      <c r="MI17" s="122"/>
      <c r="MJ17" s="122"/>
      <c r="MK17" s="122"/>
      <c r="ML17" s="122"/>
      <c r="MM17" s="122"/>
      <c r="MN17" s="122"/>
      <c r="MO17" s="122"/>
      <c r="MP17" s="122"/>
      <c r="MQ17" s="122"/>
      <c r="MR17" s="122"/>
      <c r="MS17" s="122"/>
      <c r="MT17" s="122"/>
      <c r="MU17" s="122"/>
      <c r="MV17" s="122"/>
      <c r="MW17" s="122"/>
      <c r="MX17" s="122"/>
      <c r="MY17" s="122"/>
      <c r="MZ17" s="122"/>
      <c r="NA17" s="122"/>
      <c r="NB17" s="122"/>
      <c r="NC17" s="122"/>
      <c r="ND17" s="122"/>
      <c r="NE17" s="122"/>
      <c r="NF17" s="122"/>
      <c r="NI17" s="24"/>
      <c r="NK17" s="24"/>
      <c r="NL17" s="24"/>
      <c r="NN17" s="24"/>
      <c r="NO17" s="24"/>
      <c r="NP17" s="24"/>
    </row>
    <row r="18" spans="2:380" ht="15.75" x14ac:dyDescent="0.25">
      <c r="B18" s="21">
        <v>522</v>
      </c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123"/>
      <c r="KJ18" s="123"/>
      <c r="KK18" s="123"/>
      <c r="KL18" s="123"/>
      <c r="KM18" s="123"/>
      <c r="KN18" s="123"/>
      <c r="KO18" s="123"/>
      <c r="KP18" s="123"/>
      <c r="KQ18" s="123"/>
      <c r="KR18" s="123"/>
      <c r="KS18" s="123"/>
      <c r="KT18" s="123"/>
      <c r="KU18" s="123"/>
      <c r="KV18" s="123"/>
      <c r="KW18" s="123"/>
      <c r="KX18" s="123"/>
      <c r="KY18" s="123"/>
      <c r="KZ18" s="123"/>
      <c r="LA18" s="123"/>
      <c r="LB18" s="123"/>
      <c r="LC18" s="123"/>
      <c r="LD18" s="123"/>
      <c r="LE18" s="123"/>
      <c r="LF18" s="123"/>
      <c r="LG18" s="123"/>
      <c r="LH18" s="123"/>
      <c r="LI18" s="123"/>
      <c r="LJ18" s="123"/>
      <c r="LK18" s="123"/>
      <c r="LL18" s="123"/>
      <c r="LM18" s="123"/>
      <c r="LN18" s="123"/>
      <c r="LO18" s="123"/>
      <c r="LP18" s="123"/>
      <c r="LQ18" s="123"/>
      <c r="LR18" s="123"/>
      <c r="LS18" s="123"/>
      <c r="LT18" s="123"/>
      <c r="LU18" s="123"/>
      <c r="LV18" s="123"/>
      <c r="LW18" s="123"/>
      <c r="LX18" s="123"/>
      <c r="LY18" s="123"/>
      <c r="LZ18" s="123"/>
      <c r="MA18" s="123"/>
      <c r="MB18" s="123"/>
      <c r="MC18" s="123"/>
      <c r="MD18" s="123"/>
      <c r="ME18" s="123"/>
      <c r="MF18" s="123"/>
      <c r="MG18" s="123"/>
      <c r="MH18" s="123"/>
      <c r="MI18" s="123"/>
      <c r="MJ18" s="123"/>
      <c r="MK18" s="123"/>
      <c r="ML18" s="123"/>
      <c r="MM18" s="123"/>
      <c r="MN18" s="123"/>
      <c r="MO18" s="123"/>
      <c r="MP18" s="123"/>
      <c r="MQ18" s="123"/>
      <c r="MR18" s="123"/>
      <c r="MS18" s="123"/>
      <c r="MT18" s="123"/>
      <c r="MU18" s="123"/>
      <c r="MV18" s="123"/>
      <c r="MW18" s="123"/>
      <c r="MX18" s="123"/>
      <c r="MY18" s="123"/>
      <c r="MZ18" s="123"/>
      <c r="NA18" s="123"/>
      <c r="NB18" s="123"/>
      <c r="NC18" s="123"/>
      <c r="ND18" s="123"/>
      <c r="NE18" s="123"/>
      <c r="NF18" s="123"/>
      <c r="NO18" s="24"/>
    </row>
    <row r="19" spans="2:380" ht="15.75" x14ac:dyDescent="0.25">
      <c r="B19" s="14">
        <v>523</v>
      </c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3"/>
      <c r="DM19" s="123"/>
      <c r="DN19" s="123"/>
      <c r="DO19" s="123"/>
      <c r="DP19" s="123"/>
      <c r="DQ19" s="123"/>
      <c r="DR19" s="123"/>
      <c r="DS19" s="123"/>
      <c r="DT19" s="123"/>
      <c r="DU19" s="123"/>
      <c r="DV19" s="123"/>
      <c r="DW19" s="123"/>
      <c r="DX19" s="123"/>
      <c r="DY19" s="123"/>
      <c r="DZ19" s="123"/>
      <c r="EA19" s="123"/>
      <c r="EB19" s="123"/>
      <c r="EC19" s="123"/>
      <c r="ED19" s="123"/>
      <c r="EE19" s="123"/>
      <c r="EF19" s="123"/>
      <c r="EG19" s="123"/>
      <c r="EH19" s="123"/>
      <c r="EI19" s="123"/>
      <c r="EJ19" s="123"/>
      <c r="EK19" s="123"/>
      <c r="EL19" s="123"/>
      <c r="EM19" s="123"/>
      <c r="EN19" s="123"/>
      <c r="EO19" s="123"/>
      <c r="EP19" s="123"/>
      <c r="EQ19" s="123"/>
      <c r="ER19" s="123"/>
      <c r="ES19" s="123"/>
      <c r="ET19" s="123"/>
      <c r="EU19" s="123"/>
      <c r="EV19" s="123"/>
      <c r="EW19" s="123"/>
      <c r="EX19" s="123"/>
      <c r="EY19" s="123"/>
      <c r="EZ19" s="123"/>
      <c r="FA19" s="123"/>
      <c r="FB19" s="123"/>
      <c r="FC19" s="123"/>
      <c r="FD19" s="123"/>
      <c r="FE19" s="123"/>
      <c r="FF19" s="123"/>
      <c r="FG19" s="123"/>
      <c r="FH19" s="123"/>
      <c r="FI19" s="123"/>
      <c r="FJ19" s="123"/>
      <c r="FK19" s="123"/>
      <c r="FL19" s="123"/>
      <c r="FM19" s="123"/>
      <c r="FN19" s="123"/>
      <c r="FO19" s="123"/>
      <c r="FP19" s="123"/>
      <c r="FQ19" s="123"/>
      <c r="FR19" s="123"/>
      <c r="FS19" s="123"/>
      <c r="FT19" s="123"/>
      <c r="FU19" s="123"/>
      <c r="FV19" s="123"/>
      <c r="FW19" s="123"/>
      <c r="FX19" s="123"/>
      <c r="FY19" s="123"/>
      <c r="FZ19" s="123"/>
      <c r="GA19" s="123"/>
      <c r="GB19" s="123"/>
      <c r="GC19" s="123"/>
      <c r="GD19" s="123"/>
      <c r="GE19" s="123"/>
      <c r="GF19" s="123"/>
      <c r="GG19" s="123"/>
      <c r="GH19" s="123"/>
      <c r="GI19" s="123"/>
      <c r="GJ19" s="123"/>
      <c r="GK19" s="123"/>
      <c r="GL19" s="123"/>
      <c r="GM19" s="123"/>
      <c r="GN19" s="123"/>
      <c r="GO19" s="123"/>
      <c r="GP19" s="123"/>
      <c r="GQ19" s="123"/>
      <c r="GR19" s="123"/>
      <c r="GS19" s="123"/>
      <c r="GT19" s="123"/>
      <c r="GU19" s="123"/>
      <c r="GV19" s="123"/>
      <c r="GW19" s="123"/>
      <c r="GX19" s="123"/>
      <c r="GY19" s="123"/>
      <c r="GZ19" s="123"/>
      <c r="HA19" s="123"/>
      <c r="HB19" s="123"/>
      <c r="HC19" s="123"/>
      <c r="HD19" s="123"/>
      <c r="HE19" s="123"/>
      <c r="HF19" s="123"/>
      <c r="HG19" s="123"/>
      <c r="HH19" s="123"/>
      <c r="HI19" s="123"/>
      <c r="HJ19" s="123"/>
      <c r="HK19" s="123"/>
      <c r="HL19" s="123"/>
      <c r="HM19" s="123"/>
      <c r="HN19" s="123"/>
      <c r="HO19" s="123"/>
      <c r="HP19" s="123"/>
      <c r="HQ19" s="123"/>
      <c r="HR19" s="123"/>
      <c r="HS19" s="123"/>
      <c r="HT19" s="123"/>
      <c r="HU19" s="123"/>
      <c r="HV19" s="123"/>
      <c r="HW19" s="123"/>
      <c r="HX19" s="123"/>
      <c r="HY19" s="123"/>
      <c r="HZ19" s="123"/>
      <c r="IA19" s="123"/>
      <c r="IB19" s="123"/>
      <c r="IC19" s="123"/>
      <c r="ID19" s="123"/>
      <c r="IE19" s="123"/>
      <c r="IF19" s="123"/>
      <c r="IG19" s="123"/>
      <c r="IH19" s="123"/>
      <c r="II19" s="123"/>
      <c r="IJ19" s="123"/>
      <c r="IK19" s="123"/>
      <c r="IL19" s="123"/>
      <c r="IM19" s="123"/>
      <c r="IN19" s="123"/>
      <c r="IO19" s="123"/>
      <c r="IP19" s="123"/>
      <c r="IQ19" s="123"/>
      <c r="IR19" s="123"/>
      <c r="IS19" s="123"/>
      <c r="IT19" s="123"/>
      <c r="IU19" s="123"/>
      <c r="IV19" s="123"/>
      <c r="IW19" s="123"/>
      <c r="IX19" s="123"/>
      <c r="IY19" s="123"/>
      <c r="IZ19" s="123"/>
      <c r="JA19" s="123"/>
      <c r="JB19" s="123"/>
      <c r="JC19" s="123"/>
      <c r="JD19" s="123"/>
      <c r="JE19" s="123"/>
      <c r="JF19" s="123"/>
      <c r="JG19" s="123"/>
      <c r="JH19" s="123"/>
      <c r="JI19" s="123"/>
      <c r="JJ19" s="123"/>
      <c r="JK19" s="123"/>
      <c r="JL19" s="123"/>
      <c r="JM19" s="123"/>
      <c r="JN19" s="123"/>
      <c r="JO19" s="123"/>
      <c r="JP19" s="123"/>
      <c r="JQ19" s="123"/>
      <c r="JR19" s="123"/>
      <c r="JS19" s="123"/>
      <c r="JT19" s="123"/>
      <c r="JU19" s="123"/>
      <c r="JV19" s="123"/>
      <c r="JW19" s="123"/>
      <c r="JX19" s="123"/>
      <c r="JY19" s="123"/>
      <c r="JZ19" s="123"/>
      <c r="KA19" s="123"/>
      <c r="KB19" s="123"/>
      <c r="KC19" s="123"/>
      <c r="KD19" s="123"/>
      <c r="KE19" s="123"/>
      <c r="KF19" s="123"/>
      <c r="KG19" s="123"/>
      <c r="KH19" s="123"/>
      <c r="KI19" s="123"/>
      <c r="KJ19" s="123"/>
      <c r="KK19" s="123"/>
      <c r="KL19" s="123"/>
      <c r="KM19" s="123"/>
      <c r="KN19" s="123"/>
      <c r="KO19" s="123"/>
      <c r="KP19" s="123"/>
      <c r="KQ19" s="123"/>
      <c r="KR19" s="123"/>
      <c r="KS19" s="123"/>
      <c r="KT19" s="123"/>
      <c r="KU19" s="123"/>
      <c r="KV19" s="123"/>
      <c r="KW19" s="123"/>
      <c r="KX19" s="123"/>
      <c r="KY19" s="123"/>
      <c r="KZ19" s="123"/>
      <c r="LA19" s="123"/>
      <c r="LB19" s="123"/>
      <c r="LC19" s="123"/>
      <c r="LD19" s="123"/>
      <c r="LE19" s="123"/>
      <c r="LF19" s="123"/>
      <c r="LG19" s="123"/>
      <c r="LH19" s="123"/>
      <c r="LI19" s="123"/>
      <c r="LJ19" s="123"/>
      <c r="LK19" s="123"/>
      <c r="LL19" s="123"/>
      <c r="LM19" s="123"/>
      <c r="LN19" s="123"/>
      <c r="LO19" s="123"/>
      <c r="LP19" s="123"/>
      <c r="LQ19" s="123"/>
      <c r="LR19" s="123"/>
      <c r="LS19" s="123"/>
      <c r="LT19" s="123"/>
      <c r="LU19" s="123"/>
      <c r="LV19" s="123"/>
      <c r="LW19" s="123"/>
      <c r="LX19" s="123"/>
      <c r="LY19" s="123"/>
      <c r="LZ19" s="123"/>
      <c r="MA19" s="123"/>
      <c r="MB19" s="123"/>
      <c r="MC19" s="123"/>
      <c r="MD19" s="123"/>
      <c r="ME19" s="123"/>
      <c r="MF19" s="123"/>
      <c r="MG19" s="123"/>
      <c r="MH19" s="123"/>
      <c r="MI19" s="123"/>
      <c r="MJ19" s="123"/>
      <c r="MK19" s="123"/>
      <c r="ML19" s="123"/>
      <c r="MM19" s="123"/>
      <c r="MN19" s="123"/>
      <c r="MO19" s="123"/>
      <c r="MP19" s="123"/>
      <c r="MQ19" s="123"/>
      <c r="MR19" s="123"/>
      <c r="MS19" s="123"/>
      <c r="MT19" s="123"/>
      <c r="MU19" s="123"/>
      <c r="MV19" s="123"/>
      <c r="MW19" s="123"/>
      <c r="MX19" s="123"/>
      <c r="MY19" s="123"/>
      <c r="MZ19" s="123"/>
      <c r="NA19" s="123"/>
      <c r="NB19" s="123"/>
      <c r="NC19" s="123"/>
      <c r="ND19" s="123"/>
      <c r="NE19" s="123"/>
      <c r="NF19" s="123"/>
      <c r="NJ19" s="24"/>
      <c r="NM19" s="24"/>
      <c r="NN19" s="24"/>
      <c r="NO19" s="24"/>
    </row>
    <row r="20" spans="2:380" ht="15.75" x14ac:dyDescent="0.25">
      <c r="B20" s="21">
        <v>524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/>
      <c r="DC20" s="123"/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3"/>
      <c r="DO20" s="123"/>
      <c r="DP20" s="123"/>
      <c r="DQ20" s="123"/>
      <c r="DR20" s="123"/>
      <c r="DS20" s="123"/>
      <c r="DT20" s="123"/>
      <c r="DU20" s="123"/>
      <c r="DV20" s="123"/>
      <c r="DW20" s="123"/>
      <c r="DX20" s="123"/>
      <c r="DY20" s="123"/>
      <c r="DZ20" s="123"/>
      <c r="EA20" s="123"/>
      <c r="EB20" s="123"/>
      <c r="EC20" s="123"/>
      <c r="ED20" s="123"/>
      <c r="EE20" s="123"/>
      <c r="EF20" s="123"/>
      <c r="EG20" s="123"/>
      <c r="EH20" s="123"/>
      <c r="EI20" s="123"/>
      <c r="EJ20" s="123"/>
      <c r="EK20" s="123"/>
      <c r="EL20" s="123"/>
      <c r="EM20" s="123"/>
      <c r="EN20" s="123"/>
      <c r="EO20" s="123"/>
      <c r="EP20" s="123"/>
      <c r="EQ20" s="123"/>
      <c r="ER20" s="123"/>
      <c r="ES20" s="123"/>
      <c r="ET20" s="123"/>
      <c r="EU20" s="123"/>
      <c r="EV20" s="123"/>
      <c r="EW20" s="123"/>
      <c r="EX20" s="123"/>
      <c r="EY20" s="123"/>
      <c r="EZ20" s="123"/>
      <c r="FA20" s="123"/>
      <c r="FB20" s="123"/>
      <c r="FC20" s="123"/>
      <c r="FD20" s="123"/>
      <c r="FE20" s="123"/>
      <c r="FF20" s="123"/>
      <c r="FG20" s="123"/>
      <c r="FH20" s="123"/>
      <c r="FI20" s="123"/>
      <c r="FJ20" s="123"/>
      <c r="FK20" s="123"/>
      <c r="FL20" s="123"/>
      <c r="FM20" s="123"/>
      <c r="FN20" s="123"/>
      <c r="FO20" s="123"/>
      <c r="FP20" s="123"/>
      <c r="FQ20" s="123"/>
      <c r="FR20" s="123"/>
      <c r="FS20" s="123"/>
      <c r="FT20" s="123"/>
      <c r="FU20" s="123"/>
      <c r="FV20" s="123"/>
      <c r="FW20" s="123"/>
      <c r="FX20" s="123"/>
      <c r="FY20" s="123"/>
      <c r="FZ20" s="123"/>
      <c r="GA20" s="123"/>
      <c r="GB20" s="123"/>
      <c r="GC20" s="123"/>
      <c r="GD20" s="123"/>
      <c r="GE20" s="123"/>
      <c r="GF20" s="123"/>
      <c r="GG20" s="123"/>
      <c r="GH20" s="123"/>
      <c r="GI20" s="123"/>
      <c r="GJ20" s="123"/>
      <c r="GK20" s="123"/>
      <c r="GL20" s="123"/>
      <c r="GM20" s="123"/>
      <c r="GN20" s="123"/>
      <c r="GO20" s="123"/>
      <c r="GP20" s="123"/>
      <c r="GQ20" s="123"/>
      <c r="GR20" s="123"/>
      <c r="GS20" s="123"/>
      <c r="GT20" s="123"/>
      <c r="GU20" s="123"/>
      <c r="GV20" s="123"/>
      <c r="GW20" s="123"/>
      <c r="GX20" s="123"/>
      <c r="GY20" s="123"/>
      <c r="GZ20" s="123"/>
      <c r="HA20" s="123"/>
      <c r="HB20" s="123"/>
      <c r="HC20" s="123"/>
      <c r="HD20" s="123"/>
      <c r="HE20" s="123"/>
      <c r="HF20" s="123"/>
      <c r="HG20" s="123"/>
      <c r="HH20" s="123"/>
      <c r="HI20" s="123"/>
      <c r="HJ20" s="123"/>
      <c r="HK20" s="123"/>
      <c r="HL20" s="123"/>
      <c r="HM20" s="123"/>
      <c r="HN20" s="123"/>
      <c r="HO20" s="123"/>
      <c r="HP20" s="123"/>
      <c r="HQ20" s="123"/>
      <c r="HR20" s="123"/>
      <c r="HS20" s="123"/>
      <c r="HT20" s="123"/>
      <c r="HU20" s="123"/>
      <c r="HV20" s="123"/>
      <c r="HW20" s="123"/>
      <c r="HX20" s="123"/>
      <c r="HY20" s="123"/>
      <c r="HZ20" s="123"/>
      <c r="IA20" s="123"/>
      <c r="IB20" s="123"/>
      <c r="IC20" s="123"/>
      <c r="ID20" s="123"/>
      <c r="IE20" s="123"/>
      <c r="IF20" s="123"/>
      <c r="IG20" s="123"/>
      <c r="IH20" s="123"/>
      <c r="II20" s="123"/>
      <c r="IJ20" s="123"/>
      <c r="IK20" s="123"/>
      <c r="IL20" s="123"/>
      <c r="IM20" s="123"/>
      <c r="IN20" s="123"/>
      <c r="IO20" s="123"/>
      <c r="IP20" s="123"/>
      <c r="IQ20" s="123"/>
      <c r="IR20" s="123"/>
      <c r="IS20" s="123"/>
      <c r="IT20" s="123"/>
      <c r="IU20" s="123"/>
      <c r="IV20" s="123"/>
      <c r="IW20" s="123"/>
      <c r="IX20" s="123"/>
      <c r="IY20" s="123"/>
      <c r="IZ20" s="123"/>
      <c r="JA20" s="123"/>
      <c r="JB20" s="123"/>
      <c r="JC20" s="123"/>
      <c r="JD20" s="123"/>
      <c r="JE20" s="123"/>
      <c r="JF20" s="123"/>
      <c r="JG20" s="123"/>
      <c r="JH20" s="123"/>
      <c r="JI20" s="123"/>
      <c r="JJ20" s="123"/>
      <c r="JK20" s="123"/>
      <c r="JL20" s="123"/>
      <c r="JM20" s="123"/>
      <c r="JN20" s="123"/>
      <c r="JO20" s="123"/>
      <c r="JP20" s="123"/>
      <c r="JQ20" s="123"/>
      <c r="JR20" s="123"/>
      <c r="JS20" s="123"/>
      <c r="JT20" s="123"/>
      <c r="JU20" s="123"/>
      <c r="JV20" s="123"/>
      <c r="JW20" s="123"/>
      <c r="JX20" s="123"/>
      <c r="JY20" s="123"/>
      <c r="JZ20" s="123"/>
      <c r="KA20" s="123"/>
      <c r="KB20" s="123"/>
      <c r="KC20" s="123"/>
      <c r="KD20" s="123"/>
      <c r="KE20" s="123"/>
      <c r="KF20" s="123"/>
      <c r="KG20" s="123"/>
      <c r="KH20" s="123"/>
      <c r="KI20" s="123"/>
      <c r="KJ20" s="123"/>
      <c r="KK20" s="123"/>
      <c r="KL20" s="123"/>
      <c r="KM20" s="123"/>
      <c r="KN20" s="123"/>
      <c r="KO20" s="123"/>
      <c r="KP20" s="123"/>
      <c r="KQ20" s="123"/>
      <c r="KR20" s="123"/>
      <c r="KS20" s="123"/>
      <c r="KT20" s="123"/>
      <c r="KU20" s="123"/>
      <c r="KV20" s="123"/>
      <c r="KW20" s="123"/>
      <c r="KX20" s="123"/>
      <c r="KY20" s="123"/>
      <c r="KZ20" s="123"/>
      <c r="LA20" s="123"/>
      <c r="LB20" s="123"/>
      <c r="LC20" s="123"/>
      <c r="LD20" s="123"/>
      <c r="LE20" s="123"/>
      <c r="LF20" s="123"/>
      <c r="LG20" s="123"/>
      <c r="LH20" s="123"/>
      <c r="LI20" s="123"/>
      <c r="LJ20" s="123"/>
      <c r="LK20" s="123"/>
      <c r="LL20" s="123"/>
      <c r="LM20" s="123"/>
      <c r="LN20" s="123"/>
      <c r="LO20" s="123"/>
      <c r="LP20" s="123"/>
      <c r="LQ20" s="123"/>
      <c r="LR20" s="123"/>
      <c r="LS20" s="123"/>
      <c r="LT20" s="123"/>
      <c r="LU20" s="123"/>
      <c r="LV20" s="123"/>
      <c r="LW20" s="123"/>
      <c r="LX20" s="123"/>
      <c r="LY20" s="123"/>
      <c r="LZ20" s="123"/>
      <c r="MA20" s="123"/>
      <c r="MB20" s="123"/>
      <c r="MC20" s="123"/>
      <c r="MD20" s="123"/>
      <c r="ME20" s="123"/>
      <c r="MF20" s="123"/>
      <c r="MG20" s="123"/>
      <c r="MH20" s="123"/>
      <c r="MI20" s="123"/>
      <c r="MJ20" s="123"/>
      <c r="MK20" s="123"/>
      <c r="ML20" s="123"/>
      <c r="MM20" s="123"/>
      <c r="MN20" s="123"/>
      <c r="MO20" s="123"/>
      <c r="MP20" s="123"/>
      <c r="MQ20" s="123"/>
      <c r="MR20" s="123"/>
      <c r="MS20" s="123"/>
      <c r="MT20" s="123"/>
      <c r="MU20" s="123"/>
      <c r="MV20" s="123"/>
      <c r="MW20" s="123"/>
      <c r="MX20" s="123"/>
      <c r="MY20" s="123"/>
      <c r="MZ20" s="123"/>
      <c r="NA20" s="123"/>
      <c r="NB20" s="123"/>
      <c r="NC20" s="123"/>
      <c r="ND20" s="123"/>
      <c r="NE20" s="123"/>
      <c r="NF20" s="123"/>
      <c r="NN20" s="24"/>
      <c r="NO20" s="24"/>
    </row>
    <row r="21" spans="2:380" ht="15.75" x14ac:dyDescent="0.25">
      <c r="B21" s="14">
        <v>525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3"/>
      <c r="DO21" s="123"/>
      <c r="DP21" s="123"/>
      <c r="DQ21" s="123"/>
      <c r="DR21" s="123"/>
      <c r="DS21" s="123"/>
      <c r="DT21" s="123"/>
      <c r="DU21" s="123"/>
      <c r="DV21" s="123"/>
      <c r="DW21" s="123"/>
      <c r="DX21" s="123"/>
      <c r="DY21" s="123"/>
      <c r="DZ21" s="123"/>
      <c r="EA21" s="123"/>
      <c r="EB21" s="123"/>
      <c r="EC21" s="123"/>
      <c r="ED21" s="123"/>
      <c r="EE21" s="123"/>
      <c r="EF21" s="123"/>
      <c r="EG21" s="123"/>
      <c r="EH21" s="123"/>
      <c r="EI21" s="123"/>
      <c r="EJ21" s="123"/>
      <c r="EK21" s="123"/>
      <c r="EL21" s="123"/>
      <c r="EM21" s="123"/>
      <c r="EN21" s="123"/>
      <c r="EO21" s="123"/>
      <c r="EP21" s="123"/>
      <c r="EQ21" s="123"/>
      <c r="ER21" s="123"/>
      <c r="ES21" s="123"/>
      <c r="ET21" s="123"/>
      <c r="EU21" s="123"/>
      <c r="EV21" s="123"/>
      <c r="EW21" s="123"/>
      <c r="EX21" s="123"/>
      <c r="EY21" s="123"/>
      <c r="EZ21" s="123"/>
      <c r="FA21" s="123"/>
      <c r="FB21" s="123"/>
      <c r="FC21" s="123"/>
      <c r="FD21" s="123"/>
      <c r="FE21" s="123"/>
      <c r="FF21" s="123"/>
      <c r="FG21" s="123"/>
      <c r="FH21" s="123"/>
      <c r="FI21" s="123"/>
      <c r="FJ21" s="123"/>
      <c r="FK21" s="123"/>
      <c r="FL21" s="123"/>
      <c r="FM21" s="123"/>
      <c r="FN21" s="123"/>
      <c r="FO21" s="123"/>
      <c r="FP21" s="123"/>
      <c r="FQ21" s="123"/>
      <c r="FR21" s="123"/>
      <c r="FS21" s="123"/>
      <c r="FT21" s="123"/>
      <c r="FU21" s="123"/>
      <c r="FV21" s="123"/>
      <c r="FW21" s="123"/>
      <c r="FX21" s="123"/>
      <c r="FY21" s="123"/>
      <c r="FZ21" s="123"/>
      <c r="GA21" s="123"/>
      <c r="GB21" s="123"/>
      <c r="GC21" s="123"/>
      <c r="GD21" s="123"/>
      <c r="GE21" s="123"/>
      <c r="GF21" s="123"/>
      <c r="GG21" s="123"/>
      <c r="GH21" s="123"/>
      <c r="GI21" s="123"/>
      <c r="GJ21" s="123"/>
      <c r="GK21" s="123"/>
      <c r="GL21" s="123"/>
      <c r="GM21" s="123"/>
      <c r="GN21" s="123"/>
      <c r="GO21" s="123"/>
      <c r="GP21" s="123"/>
      <c r="GQ21" s="123"/>
      <c r="GR21" s="123"/>
      <c r="GS21" s="123"/>
      <c r="GT21" s="123"/>
      <c r="GU21" s="123"/>
      <c r="GV21" s="123"/>
      <c r="GW21" s="123"/>
      <c r="GX21" s="123"/>
      <c r="GY21" s="123"/>
      <c r="GZ21" s="123"/>
      <c r="HA21" s="123"/>
      <c r="HB21" s="123"/>
      <c r="HC21" s="123"/>
      <c r="HD21" s="123"/>
      <c r="HE21" s="123"/>
      <c r="HF21" s="123"/>
      <c r="HG21" s="123"/>
      <c r="HH21" s="123"/>
      <c r="HI21" s="123"/>
      <c r="HJ21" s="123"/>
      <c r="HK21" s="123"/>
      <c r="HL21" s="123"/>
      <c r="HM21" s="123"/>
      <c r="HN21" s="123"/>
      <c r="HO21" s="123"/>
      <c r="HP21" s="123"/>
      <c r="HQ21" s="123"/>
      <c r="HR21" s="123"/>
      <c r="HS21" s="123"/>
      <c r="HT21" s="123"/>
      <c r="HU21" s="123"/>
      <c r="HV21" s="123"/>
      <c r="HW21" s="123"/>
      <c r="HX21" s="123"/>
      <c r="HY21" s="123"/>
      <c r="HZ21" s="123"/>
      <c r="IA21" s="123"/>
      <c r="IB21" s="123"/>
      <c r="IC21" s="123"/>
      <c r="ID21" s="123"/>
      <c r="IE21" s="123"/>
      <c r="IF21" s="123"/>
      <c r="IG21" s="123"/>
      <c r="IH21" s="123"/>
      <c r="II21" s="123"/>
      <c r="IJ21" s="123"/>
      <c r="IK21" s="123"/>
      <c r="IL21" s="123"/>
      <c r="IM21" s="123"/>
      <c r="IN21" s="123"/>
      <c r="IO21" s="123"/>
      <c r="IP21" s="123"/>
      <c r="IQ21" s="123"/>
      <c r="IR21" s="123"/>
      <c r="IS21" s="123"/>
      <c r="IT21" s="123"/>
      <c r="IU21" s="123"/>
      <c r="IV21" s="123"/>
      <c r="IW21" s="123"/>
      <c r="IX21" s="123"/>
      <c r="IY21" s="123"/>
      <c r="IZ21" s="123"/>
      <c r="JA21" s="123"/>
      <c r="JB21" s="123"/>
      <c r="JC21" s="123"/>
      <c r="JD21" s="123"/>
      <c r="JE21" s="123"/>
      <c r="JF21" s="123"/>
      <c r="JG21" s="123"/>
      <c r="JH21" s="123"/>
      <c r="JI21" s="123"/>
      <c r="JJ21" s="123"/>
      <c r="JK21" s="123"/>
      <c r="JL21" s="123"/>
      <c r="JM21" s="123"/>
      <c r="JN21" s="123"/>
      <c r="JO21" s="123"/>
      <c r="JP21" s="123"/>
      <c r="JQ21" s="123"/>
      <c r="JR21" s="123"/>
      <c r="JS21" s="123"/>
      <c r="JT21" s="123"/>
      <c r="JU21" s="123"/>
      <c r="JV21" s="123"/>
      <c r="JW21" s="123"/>
      <c r="JX21" s="123"/>
      <c r="JY21" s="123"/>
      <c r="JZ21" s="123"/>
      <c r="KA21" s="123"/>
      <c r="KB21" s="123"/>
      <c r="KC21" s="123"/>
      <c r="KD21" s="123"/>
      <c r="KE21" s="123"/>
      <c r="KF21" s="123"/>
      <c r="KG21" s="123"/>
      <c r="KH21" s="123"/>
      <c r="KI21" s="123"/>
      <c r="KJ21" s="123"/>
      <c r="KK21" s="123"/>
      <c r="KL21" s="123"/>
      <c r="KM21" s="123"/>
      <c r="KN21" s="123"/>
      <c r="KO21" s="123"/>
      <c r="KP21" s="123"/>
      <c r="KQ21" s="123"/>
      <c r="KR21" s="123"/>
      <c r="KS21" s="123"/>
      <c r="KT21" s="123"/>
      <c r="KU21" s="123"/>
      <c r="KV21" s="123"/>
      <c r="KW21" s="123"/>
      <c r="KX21" s="123"/>
      <c r="KY21" s="123"/>
      <c r="KZ21" s="123"/>
      <c r="LA21" s="123"/>
      <c r="LB21" s="123"/>
      <c r="LC21" s="123"/>
      <c r="LD21" s="123"/>
      <c r="LE21" s="123"/>
      <c r="LF21" s="123"/>
      <c r="LG21" s="123"/>
      <c r="LH21" s="123"/>
      <c r="LI21" s="123"/>
      <c r="LJ21" s="123"/>
      <c r="LK21" s="123"/>
      <c r="LL21" s="123"/>
      <c r="LM21" s="123"/>
      <c r="LN21" s="123"/>
      <c r="LO21" s="123"/>
      <c r="LP21" s="123"/>
      <c r="LQ21" s="123"/>
      <c r="LR21" s="123"/>
      <c r="LS21" s="123"/>
      <c r="LT21" s="123"/>
      <c r="LU21" s="123"/>
      <c r="LV21" s="123"/>
      <c r="LW21" s="123"/>
      <c r="LX21" s="123"/>
      <c r="LY21" s="123"/>
      <c r="LZ21" s="123"/>
      <c r="MA21" s="123"/>
      <c r="MB21" s="123"/>
      <c r="MC21" s="123"/>
      <c r="MD21" s="123"/>
      <c r="ME21" s="123"/>
      <c r="MF21" s="123"/>
      <c r="MG21" s="123"/>
      <c r="MH21" s="123"/>
      <c r="MI21" s="123"/>
      <c r="MJ21" s="123"/>
      <c r="MK21" s="123"/>
      <c r="ML21" s="123"/>
      <c r="MM21" s="123"/>
      <c r="MN21" s="123"/>
      <c r="MO21" s="123"/>
      <c r="MP21" s="123"/>
      <c r="MQ21" s="123"/>
      <c r="MR21" s="123"/>
      <c r="MS21" s="123"/>
      <c r="MT21" s="123"/>
      <c r="MU21" s="123"/>
      <c r="MV21" s="123"/>
      <c r="MW21" s="123"/>
      <c r="MX21" s="123"/>
      <c r="MY21" s="123"/>
      <c r="MZ21" s="123"/>
      <c r="NA21" s="123"/>
      <c r="NB21" s="123"/>
      <c r="NC21" s="123"/>
      <c r="ND21" s="123"/>
      <c r="NE21" s="123"/>
      <c r="NF21" s="123"/>
      <c r="NJ21" s="24"/>
      <c r="NK21" s="24"/>
      <c r="NM21" s="24"/>
      <c r="NN21" s="24"/>
      <c r="NO21" s="24"/>
      <c r="NP21" s="24"/>
    </row>
    <row r="22" spans="2:380" ht="15.75" x14ac:dyDescent="0.25">
      <c r="B22" s="21">
        <v>526</v>
      </c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3"/>
      <c r="DO22" s="123"/>
      <c r="DP22" s="123"/>
      <c r="DQ22" s="123"/>
      <c r="DR22" s="123"/>
      <c r="DS22" s="123"/>
      <c r="DT22" s="123"/>
      <c r="DU22" s="123"/>
      <c r="DV22" s="123"/>
      <c r="DW22" s="123"/>
      <c r="DX22" s="123"/>
      <c r="DY22" s="123"/>
      <c r="DZ22" s="123"/>
      <c r="EA22" s="123"/>
      <c r="EB22" s="123"/>
      <c r="EC22" s="123"/>
      <c r="ED22" s="123"/>
      <c r="EE22" s="123"/>
      <c r="EF22" s="123"/>
      <c r="EG22" s="123"/>
      <c r="EH22" s="123"/>
      <c r="EI22" s="123"/>
      <c r="EJ22" s="123"/>
      <c r="EK22" s="123"/>
      <c r="EL22" s="123"/>
      <c r="EM22" s="123"/>
      <c r="EN22" s="123"/>
      <c r="EO22" s="123"/>
      <c r="EP22" s="123"/>
      <c r="EQ22" s="123"/>
      <c r="ER22" s="123"/>
      <c r="ES22" s="123"/>
      <c r="ET22" s="123"/>
      <c r="EU22" s="123"/>
      <c r="EV22" s="123"/>
      <c r="EW22" s="123"/>
      <c r="EX22" s="123"/>
      <c r="EY22" s="123"/>
      <c r="EZ22" s="123"/>
      <c r="FA22" s="123"/>
      <c r="FB22" s="123"/>
      <c r="FC22" s="123"/>
      <c r="FD22" s="123"/>
      <c r="FE22" s="123"/>
      <c r="FF22" s="123"/>
      <c r="FG22" s="123"/>
      <c r="FH22" s="123"/>
      <c r="FI22" s="123"/>
      <c r="FJ22" s="123"/>
      <c r="FK22" s="123"/>
      <c r="FL22" s="123"/>
      <c r="FM22" s="123"/>
      <c r="FN22" s="123"/>
      <c r="FO22" s="123"/>
      <c r="FP22" s="123"/>
      <c r="FQ22" s="123"/>
      <c r="FR22" s="123"/>
      <c r="FS22" s="123"/>
      <c r="FT22" s="123"/>
      <c r="FU22" s="123"/>
      <c r="FV22" s="123"/>
      <c r="FW22" s="123"/>
      <c r="FX22" s="123"/>
      <c r="FY22" s="123"/>
      <c r="FZ22" s="123"/>
      <c r="GA22" s="123"/>
      <c r="GB22" s="123"/>
      <c r="GC22" s="123"/>
      <c r="GD22" s="123"/>
      <c r="GE22" s="123"/>
      <c r="GF22" s="123"/>
      <c r="GG22" s="123"/>
      <c r="GH22" s="123"/>
      <c r="GI22" s="123"/>
      <c r="GJ22" s="123"/>
      <c r="GK22" s="123"/>
      <c r="GL22" s="123"/>
      <c r="GM22" s="123"/>
      <c r="GN22" s="123"/>
      <c r="GO22" s="123"/>
      <c r="GP22" s="123"/>
      <c r="GQ22" s="123"/>
      <c r="GR22" s="123"/>
      <c r="GS22" s="123"/>
      <c r="GT22" s="123"/>
      <c r="GU22" s="123"/>
      <c r="GV22" s="123"/>
      <c r="GW22" s="123"/>
      <c r="GX22" s="123"/>
      <c r="GY22" s="123"/>
      <c r="GZ22" s="123"/>
      <c r="HA22" s="123"/>
      <c r="HB22" s="123"/>
      <c r="HC22" s="123"/>
      <c r="HD22" s="123"/>
      <c r="HE22" s="123"/>
      <c r="HF22" s="123"/>
      <c r="HG22" s="123"/>
      <c r="HH22" s="123"/>
      <c r="HI22" s="123"/>
      <c r="HJ22" s="123"/>
      <c r="HK22" s="123"/>
      <c r="HL22" s="123"/>
      <c r="HM22" s="123"/>
      <c r="HN22" s="123"/>
      <c r="HO22" s="123"/>
      <c r="HP22" s="123"/>
      <c r="HQ22" s="123"/>
      <c r="HR22" s="123"/>
      <c r="HS22" s="123"/>
      <c r="HT22" s="123"/>
      <c r="HU22" s="123"/>
      <c r="HV22" s="123"/>
      <c r="HW22" s="123"/>
      <c r="HX22" s="123"/>
      <c r="HY22" s="123"/>
      <c r="HZ22" s="123"/>
      <c r="IA22" s="123"/>
      <c r="IB22" s="123"/>
      <c r="IC22" s="123"/>
      <c r="ID22" s="123"/>
      <c r="IE22" s="123"/>
      <c r="IF22" s="123"/>
      <c r="IG22" s="123"/>
      <c r="IH22" s="123"/>
      <c r="II22" s="123"/>
      <c r="IJ22" s="123"/>
      <c r="IK22" s="123"/>
      <c r="IL22" s="123"/>
      <c r="IM22" s="123"/>
      <c r="IN22" s="123"/>
      <c r="IO22" s="123"/>
      <c r="IP22" s="123"/>
      <c r="IQ22" s="123"/>
      <c r="IR22" s="123"/>
      <c r="IS22" s="123"/>
      <c r="IT22" s="123"/>
      <c r="IU22" s="123"/>
      <c r="IV22" s="123"/>
      <c r="IW22" s="123"/>
      <c r="IX22" s="123"/>
      <c r="IY22" s="123"/>
      <c r="IZ22" s="123"/>
      <c r="JA22" s="123"/>
      <c r="JB22" s="123"/>
      <c r="JC22" s="123"/>
      <c r="JD22" s="123"/>
      <c r="JE22" s="123"/>
      <c r="JF22" s="123"/>
      <c r="JG22" s="123"/>
      <c r="JH22" s="123"/>
      <c r="JI22" s="123"/>
      <c r="JJ22" s="123"/>
      <c r="JK22" s="123"/>
      <c r="JL22" s="123"/>
      <c r="JM22" s="123"/>
      <c r="JN22" s="123"/>
      <c r="JO22" s="123"/>
      <c r="JP22" s="123"/>
      <c r="JQ22" s="123"/>
      <c r="JR22" s="123"/>
      <c r="JS22" s="123"/>
      <c r="JT22" s="123"/>
      <c r="JU22" s="123"/>
      <c r="JV22" s="123"/>
      <c r="JW22" s="123"/>
      <c r="JX22" s="123"/>
      <c r="JY22" s="123"/>
      <c r="JZ22" s="123"/>
      <c r="KA22" s="123"/>
      <c r="KB22" s="123"/>
      <c r="KC22" s="123"/>
      <c r="KD22" s="123"/>
      <c r="KE22" s="123"/>
      <c r="KF22" s="123"/>
      <c r="KG22" s="123"/>
      <c r="KH22" s="123"/>
      <c r="KI22" s="123"/>
      <c r="KJ22" s="123"/>
      <c r="KK22" s="123"/>
      <c r="KL22" s="123"/>
      <c r="KM22" s="123"/>
      <c r="KN22" s="123"/>
      <c r="KO22" s="123"/>
      <c r="KP22" s="123"/>
      <c r="KQ22" s="123"/>
      <c r="KR22" s="123"/>
      <c r="KS22" s="123"/>
      <c r="KT22" s="123"/>
      <c r="KU22" s="123"/>
      <c r="KV22" s="123"/>
      <c r="KW22" s="123"/>
      <c r="KX22" s="123"/>
      <c r="KY22" s="123"/>
      <c r="KZ22" s="123"/>
      <c r="LA22" s="123"/>
      <c r="LB22" s="123"/>
      <c r="LC22" s="123"/>
      <c r="LD22" s="123"/>
      <c r="LE22" s="123"/>
      <c r="LF22" s="123"/>
      <c r="LG22" s="123"/>
      <c r="LH22" s="123"/>
      <c r="LI22" s="123"/>
      <c r="LJ22" s="123"/>
      <c r="LK22" s="123"/>
      <c r="LL22" s="123"/>
      <c r="LM22" s="123"/>
      <c r="LN22" s="123"/>
      <c r="LO22" s="123"/>
      <c r="LP22" s="123"/>
      <c r="LQ22" s="123"/>
      <c r="LR22" s="123"/>
      <c r="LS22" s="123"/>
      <c r="LT22" s="123"/>
      <c r="LU22" s="123"/>
      <c r="LV22" s="123"/>
      <c r="LW22" s="123"/>
      <c r="LX22" s="123"/>
      <c r="LY22" s="123"/>
      <c r="LZ22" s="123"/>
      <c r="MA22" s="123"/>
      <c r="MB22" s="123"/>
      <c r="MC22" s="123"/>
      <c r="MD22" s="123"/>
      <c r="ME22" s="123"/>
      <c r="MF22" s="123"/>
      <c r="MG22" s="123"/>
      <c r="MH22" s="123"/>
      <c r="MI22" s="123"/>
      <c r="MJ22" s="123"/>
      <c r="MK22" s="123"/>
      <c r="ML22" s="123"/>
      <c r="MM22" s="123"/>
      <c r="MN22" s="123"/>
      <c r="MO22" s="123"/>
      <c r="MP22" s="123"/>
      <c r="MQ22" s="123"/>
      <c r="MR22" s="123"/>
      <c r="MS22" s="123"/>
      <c r="MT22" s="123"/>
      <c r="MU22" s="123"/>
      <c r="MV22" s="123"/>
      <c r="MW22" s="123"/>
      <c r="MX22" s="123"/>
      <c r="MY22" s="123"/>
      <c r="MZ22" s="123"/>
      <c r="NA22" s="123"/>
      <c r="NB22" s="123"/>
      <c r="NC22" s="123"/>
      <c r="ND22" s="123"/>
      <c r="NE22" s="123"/>
      <c r="NF22" s="123"/>
      <c r="NI22" s="24"/>
      <c r="NN22" s="24"/>
    </row>
    <row r="23" spans="2:380" ht="15.75" x14ac:dyDescent="0.25">
      <c r="B23" s="14">
        <v>527</v>
      </c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123"/>
      <c r="DS23" s="123"/>
      <c r="DT23" s="123"/>
      <c r="DU23" s="123"/>
      <c r="DV23" s="123"/>
      <c r="DW23" s="123"/>
      <c r="DX23" s="123"/>
      <c r="DY23" s="123"/>
      <c r="DZ23" s="123"/>
      <c r="EA23" s="123"/>
      <c r="EB23" s="123"/>
      <c r="EC23" s="123"/>
      <c r="ED23" s="123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3"/>
      <c r="EP23" s="123"/>
      <c r="EQ23" s="123"/>
      <c r="ER23" s="123"/>
      <c r="ES23" s="123"/>
      <c r="ET23" s="123"/>
      <c r="EU23" s="123"/>
      <c r="EV23" s="123"/>
      <c r="EW23" s="123"/>
      <c r="EX23" s="123"/>
      <c r="EY23" s="123"/>
      <c r="EZ23" s="123"/>
      <c r="FA23" s="123"/>
      <c r="FB23" s="123"/>
      <c r="FC23" s="123"/>
      <c r="FD23" s="123"/>
      <c r="FE23" s="123"/>
      <c r="FF23" s="123"/>
      <c r="FG23" s="123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3"/>
      <c r="FS23" s="123"/>
      <c r="FT23" s="123"/>
      <c r="FU23" s="123"/>
      <c r="FV23" s="123"/>
      <c r="FW23" s="123"/>
      <c r="FX23" s="123"/>
      <c r="FY23" s="123"/>
      <c r="FZ23" s="123"/>
      <c r="GA23" s="123"/>
      <c r="GB23" s="123"/>
      <c r="GC23" s="123"/>
      <c r="GD23" s="123"/>
      <c r="GE23" s="123"/>
      <c r="GF23" s="123"/>
      <c r="GG23" s="123"/>
      <c r="GH23" s="123"/>
      <c r="GI23" s="123"/>
      <c r="GJ23" s="123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3"/>
      <c r="GV23" s="123"/>
      <c r="GW23" s="123"/>
      <c r="GX23" s="123"/>
      <c r="GY23" s="123"/>
      <c r="GZ23" s="123"/>
      <c r="HA23" s="123"/>
      <c r="HB23" s="123"/>
      <c r="HC23" s="123"/>
      <c r="HD23" s="123"/>
      <c r="HE23" s="123"/>
      <c r="HF23" s="123"/>
      <c r="HG23" s="123"/>
      <c r="HH23" s="123"/>
      <c r="HI23" s="123"/>
      <c r="HJ23" s="123"/>
      <c r="HK23" s="123"/>
      <c r="HL23" s="123"/>
      <c r="HM23" s="123"/>
      <c r="HN23" s="123"/>
      <c r="HO23" s="123"/>
      <c r="HP23" s="123"/>
      <c r="HQ23" s="123"/>
      <c r="HR23" s="123"/>
      <c r="HS23" s="123"/>
      <c r="HT23" s="123"/>
      <c r="HU23" s="123"/>
      <c r="HV23" s="123"/>
      <c r="HW23" s="123"/>
      <c r="HX23" s="123"/>
      <c r="HY23" s="123"/>
      <c r="HZ23" s="123"/>
      <c r="IA23" s="123"/>
      <c r="IB23" s="123"/>
      <c r="IC23" s="123"/>
      <c r="ID23" s="123"/>
      <c r="IE23" s="123"/>
      <c r="IF23" s="123"/>
      <c r="IG23" s="123"/>
      <c r="IH23" s="123"/>
      <c r="II23" s="123"/>
      <c r="IJ23" s="123"/>
      <c r="IK23" s="123"/>
      <c r="IL23" s="123"/>
      <c r="IM23" s="123"/>
      <c r="IN23" s="123"/>
      <c r="IO23" s="123"/>
      <c r="IP23" s="123"/>
      <c r="IQ23" s="123"/>
      <c r="IR23" s="123"/>
      <c r="IS23" s="123"/>
      <c r="IT23" s="123"/>
      <c r="IU23" s="123"/>
      <c r="IV23" s="123"/>
      <c r="IW23" s="123"/>
      <c r="IX23" s="123"/>
      <c r="IY23" s="123"/>
      <c r="IZ23" s="123"/>
      <c r="JA23" s="123"/>
      <c r="JB23" s="123"/>
      <c r="JC23" s="123"/>
      <c r="JD23" s="123"/>
      <c r="JE23" s="123"/>
      <c r="JF23" s="123"/>
      <c r="JG23" s="123"/>
      <c r="JH23" s="123"/>
      <c r="JI23" s="123"/>
      <c r="JJ23" s="123"/>
      <c r="JK23" s="123"/>
      <c r="JL23" s="123"/>
      <c r="JM23" s="123"/>
      <c r="JN23" s="123"/>
      <c r="JO23" s="123"/>
      <c r="JP23" s="123"/>
      <c r="JQ23" s="123"/>
      <c r="JR23" s="123"/>
      <c r="JS23" s="123"/>
      <c r="JT23" s="123"/>
      <c r="JU23" s="123"/>
      <c r="JV23" s="123"/>
      <c r="JW23" s="123"/>
      <c r="JX23" s="123"/>
      <c r="JY23" s="123"/>
      <c r="JZ23" s="123"/>
      <c r="KA23" s="123"/>
      <c r="KB23" s="123"/>
      <c r="KC23" s="123"/>
      <c r="KD23" s="123"/>
      <c r="KE23" s="123"/>
      <c r="KF23" s="123"/>
      <c r="KG23" s="123"/>
      <c r="KH23" s="123"/>
      <c r="KI23" s="123"/>
      <c r="KJ23" s="123"/>
      <c r="KK23" s="123"/>
      <c r="KL23" s="123"/>
      <c r="KM23" s="123"/>
      <c r="KN23" s="123"/>
      <c r="KO23" s="123"/>
      <c r="KP23" s="123"/>
      <c r="KQ23" s="123"/>
      <c r="KR23" s="123"/>
      <c r="KS23" s="123"/>
      <c r="KT23" s="123"/>
      <c r="KU23" s="123"/>
      <c r="KV23" s="123"/>
      <c r="KW23" s="123"/>
      <c r="KX23" s="123"/>
      <c r="KY23" s="123"/>
      <c r="KZ23" s="123"/>
      <c r="LA23" s="123"/>
      <c r="LB23" s="123"/>
      <c r="LC23" s="123"/>
      <c r="LD23" s="123"/>
      <c r="LE23" s="123"/>
      <c r="LF23" s="123"/>
      <c r="LG23" s="123"/>
      <c r="LH23" s="123"/>
      <c r="LI23" s="123"/>
      <c r="LJ23" s="123"/>
      <c r="LK23" s="123"/>
      <c r="LL23" s="123"/>
      <c r="LM23" s="123"/>
      <c r="LN23" s="123"/>
      <c r="LO23" s="123"/>
      <c r="LP23" s="123"/>
      <c r="LQ23" s="123"/>
      <c r="LR23" s="123"/>
      <c r="LS23" s="123"/>
      <c r="LT23" s="123"/>
      <c r="LU23" s="123"/>
      <c r="LV23" s="123"/>
      <c r="LW23" s="123"/>
      <c r="LX23" s="123"/>
      <c r="LY23" s="123"/>
      <c r="LZ23" s="123"/>
      <c r="MA23" s="123"/>
      <c r="MB23" s="123"/>
      <c r="MC23" s="123"/>
      <c r="MD23" s="123"/>
      <c r="ME23" s="123"/>
      <c r="MF23" s="123"/>
      <c r="MG23" s="123"/>
      <c r="MH23" s="123"/>
      <c r="MI23" s="123"/>
      <c r="MJ23" s="123"/>
      <c r="MK23" s="123"/>
      <c r="ML23" s="123"/>
      <c r="MM23" s="123"/>
      <c r="MN23" s="123"/>
      <c r="MO23" s="123"/>
      <c r="MP23" s="123"/>
      <c r="MQ23" s="123"/>
      <c r="MR23" s="123"/>
      <c r="MS23" s="123"/>
      <c r="MT23" s="123"/>
      <c r="MU23" s="123"/>
      <c r="MV23" s="123"/>
      <c r="MW23" s="123"/>
      <c r="MX23" s="123"/>
      <c r="MY23" s="123"/>
      <c r="MZ23" s="123"/>
      <c r="NA23" s="123"/>
      <c r="NB23" s="123"/>
      <c r="NC23" s="123"/>
      <c r="ND23" s="123"/>
      <c r="NE23" s="123"/>
      <c r="NF23" s="123"/>
      <c r="NI23" s="24"/>
      <c r="NJ23" s="24"/>
      <c r="NK23" s="24"/>
      <c r="NL23" s="24"/>
      <c r="NM23" s="24"/>
      <c r="NN23" s="24"/>
      <c r="NO23" s="24"/>
      <c r="NP23" s="24"/>
    </row>
    <row r="24" spans="2:380" ht="15.75" x14ac:dyDescent="0.25">
      <c r="B24" s="21">
        <v>528</v>
      </c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23"/>
      <c r="DY24" s="123"/>
      <c r="DZ24" s="123"/>
      <c r="EA24" s="123"/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123"/>
      <c r="EO24" s="123"/>
      <c r="EP24" s="123"/>
      <c r="EQ24" s="123"/>
      <c r="ER24" s="123"/>
      <c r="ES24" s="123"/>
      <c r="ET24" s="123"/>
      <c r="EU24" s="123"/>
      <c r="EV24" s="123"/>
      <c r="EW24" s="123"/>
      <c r="EX24" s="123"/>
      <c r="EY24" s="123"/>
      <c r="EZ24" s="123"/>
      <c r="FA24" s="123"/>
      <c r="FB24" s="123"/>
      <c r="FC24" s="123"/>
      <c r="FD24" s="123"/>
      <c r="FE24" s="123"/>
      <c r="FF24" s="123"/>
      <c r="FG24" s="123"/>
      <c r="FH24" s="123"/>
      <c r="FI24" s="123"/>
      <c r="FJ24" s="123"/>
      <c r="FK24" s="123"/>
      <c r="FL24" s="123"/>
      <c r="FM24" s="123"/>
      <c r="FN24" s="123"/>
      <c r="FO24" s="123"/>
      <c r="FP24" s="123"/>
      <c r="FQ24" s="123"/>
      <c r="FR24" s="123"/>
      <c r="FS24" s="123"/>
      <c r="FT24" s="123"/>
      <c r="FU24" s="123"/>
      <c r="FV24" s="123"/>
      <c r="FW24" s="123"/>
      <c r="FX24" s="123"/>
      <c r="FY24" s="123"/>
      <c r="FZ24" s="123"/>
      <c r="GA24" s="123"/>
      <c r="GB24" s="123"/>
      <c r="GC24" s="123"/>
      <c r="GD24" s="123"/>
      <c r="GE24" s="123"/>
      <c r="GF24" s="123"/>
      <c r="GG24" s="123"/>
      <c r="GH24" s="123"/>
      <c r="GI24" s="123"/>
      <c r="GJ24" s="123"/>
      <c r="GK24" s="123"/>
      <c r="GL24" s="123"/>
      <c r="GM24" s="123"/>
      <c r="GN24" s="123"/>
      <c r="GO24" s="123"/>
      <c r="GP24" s="123"/>
      <c r="GQ24" s="123"/>
      <c r="GR24" s="123"/>
      <c r="GS24" s="123"/>
      <c r="GT24" s="123"/>
      <c r="GU24" s="123"/>
      <c r="GV24" s="123"/>
      <c r="GW24" s="123"/>
      <c r="GX24" s="123"/>
      <c r="GY24" s="123"/>
      <c r="GZ24" s="123"/>
      <c r="HA24" s="123"/>
      <c r="HB24" s="123"/>
      <c r="HC24" s="123"/>
      <c r="HD24" s="123"/>
      <c r="HE24" s="123"/>
      <c r="HF24" s="123"/>
      <c r="HG24" s="123"/>
      <c r="HH24" s="123"/>
      <c r="HI24" s="123"/>
      <c r="HJ24" s="123"/>
      <c r="HK24" s="123"/>
      <c r="HL24" s="123"/>
      <c r="HM24" s="123"/>
      <c r="HN24" s="123"/>
      <c r="HO24" s="123"/>
      <c r="HP24" s="123"/>
      <c r="HQ24" s="123"/>
      <c r="HR24" s="123"/>
      <c r="HS24" s="123"/>
      <c r="HT24" s="123"/>
      <c r="HU24" s="123"/>
      <c r="HV24" s="123"/>
      <c r="HW24" s="123"/>
      <c r="HX24" s="123"/>
      <c r="HY24" s="123"/>
      <c r="HZ24" s="123"/>
      <c r="IA24" s="123"/>
      <c r="IB24" s="123"/>
      <c r="IC24" s="123"/>
      <c r="ID24" s="123"/>
      <c r="IE24" s="123"/>
      <c r="IF24" s="123"/>
      <c r="IG24" s="123"/>
      <c r="IH24" s="123"/>
      <c r="II24" s="123"/>
      <c r="IJ24" s="123"/>
      <c r="IK24" s="123"/>
      <c r="IL24" s="123"/>
      <c r="IM24" s="123"/>
      <c r="IN24" s="123"/>
      <c r="IO24" s="123"/>
      <c r="IP24" s="123"/>
      <c r="IQ24" s="123"/>
      <c r="IR24" s="123"/>
      <c r="IS24" s="123"/>
      <c r="IT24" s="123"/>
      <c r="IU24" s="123"/>
      <c r="IV24" s="123"/>
      <c r="IW24" s="123"/>
      <c r="IX24" s="123"/>
      <c r="IY24" s="123"/>
      <c r="IZ24" s="123"/>
      <c r="JA24" s="123"/>
      <c r="JB24" s="123"/>
      <c r="JC24" s="123"/>
      <c r="JD24" s="123"/>
      <c r="JE24" s="123"/>
      <c r="JF24" s="123"/>
      <c r="JG24" s="123"/>
      <c r="JH24" s="123"/>
      <c r="JI24" s="123"/>
      <c r="JJ24" s="123"/>
      <c r="JK24" s="123"/>
      <c r="JL24" s="123"/>
      <c r="JM24" s="123"/>
      <c r="JN24" s="123"/>
      <c r="JO24" s="123"/>
      <c r="JP24" s="123"/>
      <c r="JQ24" s="123"/>
      <c r="JR24" s="123"/>
      <c r="JS24" s="123"/>
      <c r="JT24" s="123"/>
      <c r="JU24" s="123"/>
      <c r="JV24" s="123"/>
      <c r="JW24" s="123"/>
      <c r="JX24" s="123"/>
      <c r="JY24" s="123"/>
      <c r="JZ24" s="123"/>
      <c r="KA24" s="123"/>
      <c r="KB24" s="123"/>
      <c r="KC24" s="123"/>
      <c r="KD24" s="123"/>
      <c r="KE24" s="123"/>
      <c r="KF24" s="123"/>
      <c r="KG24" s="123"/>
      <c r="KH24" s="123"/>
      <c r="KI24" s="123"/>
      <c r="KJ24" s="123"/>
      <c r="KK24" s="123"/>
      <c r="KL24" s="123"/>
      <c r="KM24" s="123"/>
      <c r="KN24" s="123"/>
      <c r="KO24" s="123"/>
      <c r="KP24" s="123"/>
      <c r="KQ24" s="123"/>
      <c r="KR24" s="123"/>
      <c r="KS24" s="123"/>
      <c r="KT24" s="123"/>
      <c r="KU24" s="123"/>
      <c r="KV24" s="123"/>
      <c r="KW24" s="123"/>
      <c r="KX24" s="123"/>
      <c r="KY24" s="123"/>
      <c r="KZ24" s="123"/>
      <c r="LA24" s="123"/>
      <c r="LB24" s="123"/>
      <c r="LC24" s="123"/>
      <c r="LD24" s="123"/>
      <c r="LE24" s="123"/>
      <c r="LF24" s="123"/>
      <c r="LG24" s="123"/>
      <c r="LH24" s="123"/>
      <c r="LI24" s="123"/>
      <c r="LJ24" s="123"/>
      <c r="LK24" s="123"/>
      <c r="LL24" s="123"/>
      <c r="LM24" s="123"/>
      <c r="LN24" s="123"/>
      <c r="LO24" s="123"/>
      <c r="LP24" s="123"/>
      <c r="LQ24" s="123"/>
      <c r="LR24" s="123"/>
      <c r="LS24" s="123"/>
      <c r="LT24" s="123"/>
      <c r="LU24" s="123"/>
      <c r="LV24" s="123"/>
      <c r="LW24" s="123"/>
      <c r="LX24" s="123"/>
      <c r="LY24" s="123"/>
      <c r="LZ24" s="123"/>
      <c r="MA24" s="123"/>
      <c r="MB24" s="123"/>
      <c r="MC24" s="123"/>
      <c r="MD24" s="123"/>
      <c r="ME24" s="123"/>
      <c r="MF24" s="123"/>
      <c r="MG24" s="123"/>
      <c r="MH24" s="123"/>
      <c r="MI24" s="123"/>
      <c r="MJ24" s="123"/>
      <c r="MK24" s="123"/>
      <c r="ML24" s="123"/>
      <c r="MM24" s="123"/>
      <c r="MN24" s="123"/>
      <c r="MO24" s="123"/>
      <c r="MP24" s="123"/>
      <c r="MQ24" s="123"/>
      <c r="MR24" s="123"/>
      <c r="MS24" s="123"/>
      <c r="MT24" s="123"/>
      <c r="MU24" s="123"/>
      <c r="MV24" s="123"/>
      <c r="MW24" s="123"/>
      <c r="MX24" s="123"/>
      <c r="MY24" s="123"/>
      <c r="MZ24" s="123"/>
      <c r="NA24" s="123"/>
      <c r="NB24" s="123"/>
      <c r="NC24" s="123"/>
      <c r="ND24" s="123"/>
      <c r="NE24" s="123"/>
      <c r="NF24" s="123"/>
      <c r="NK24" s="24"/>
      <c r="NL24" s="24"/>
      <c r="NN24" s="24"/>
      <c r="NO24" s="24"/>
    </row>
    <row r="25" spans="2:380" ht="16.5" thickBot="1" x14ac:dyDescent="0.3">
      <c r="B25" s="14">
        <v>529</v>
      </c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3"/>
      <c r="CW25" s="123"/>
      <c r="CX25" s="123"/>
      <c r="CY25" s="123"/>
      <c r="CZ25" s="123"/>
      <c r="DA25" s="123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3"/>
      <c r="DO25" s="123"/>
      <c r="DP25" s="123"/>
      <c r="DQ25" s="123"/>
      <c r="DR25" s="123"/>
      <c r="DS25" s="123"/>
      <c r="DT25" s="123"/>
      <c r="DU25" s="123"/>
      <c r="DV25" s="123"/>
      <c r="DW25" s="123"/>
      <c r="DX25" s="123"/>
      <c r="DY25" s="123"/>
      <c r="DZ25" s="123"/>
      <c r="EA25" s="123"/>
      <c r="EB25" s="123"/>
      <c r="EC25" s="123"/>
      <c r="ED25" s="123"/>
      <c r="EE25" s="123"/>
      <c r="EF25" s="123"/>
      <c r="EG25" s="123"/>
      <c r="EH25" s="123"/>
      <c r="EI25" s="123"/>
      <c r="EJ25" s="123"/>
      <c r="EK25" s="123"/>
      <c r="EL25" s="123"/>
      <c r="EM25" s="123"/>
      <c r="EN25" s="123"/>
      <c r="EO25" s="123"/>
      <c r="EP25" s="123"/>
      <c r="EQ25" s="123"/>
      <c r="ER25" s="123"/>
      <c r="ES25" s="123"/>
      <c r="ET25" s="123"/>
      <c r="EU25" s="123"/>
      <c r="EV25" s="123"/>
      <c r="EW25" s="123"/>
      <c r="EX25" s="123"/>
      <c r="EY25" s="123"/>
      <c r="EZ25" s="123"/>
      <c r="FA25" s="123"/>
      <c r="FB25" s="123"/>
      <c r="FC25" s="123"/>
      <c r="FD25" s="123"/>
      <c r="FE25" s="123"/>
      <c r="FF25" s="123"/>
      <c r="FG25" s="123"/>
      <c r="FH25" s="123"/>
      <c r="FI25" s="123"/>
      <c r="FJ25" s="123"/>
      <c r="FK25" s="123"/>
      <c r="FL25" s="123"/>
      <c r="FM25" s="123"/>
      <c r="FN25" s="123"/>
      <c r="FO25" s="123"/>
      <c r="FP25" s="123"/>
      <c r="FQ25" s="123"/>
      <c r="FR25" s="123"/>
      <c r="FS25" s="123"/>
      <c r="FT25" s="123"/>
      <c r="FU25" s="123"/>
      <c r="FV25" s="123"/>
      <c r="FW25" s="123"/>
      <c r="FX25" s="123"/>
      <c r="FY25" s="123"/>
      <c r="FZ25" s="123"/>
      <c r="GA25" s="123"/>
      <c r="GB25" s="123"/>
      <c r="GC25" s="123"/>
      <c r="GD25" s="123"/>
      <c r="GE25" s="123"/>
      <c r="GF25" s="123"/>
      <c r="GG25" s="123"/>
      <c r="GH25" s="123"/>
      <c r="GI25" s="123"/>
      <c r="GJ25" s="123"/>
      <c r="GK25" s="123"/>
      <c r="GL25" s="123"/>
      <c r="GM25" s="123"/>
      <c r="GN25" s="123"/>
      <c r="GO25" s="123"/>
      <c r="GP25" s="123"/>
      <c r="GQ25" s="123"/>
      <c r="GR25" s="123"/>
      <c r="GS25" s="123"/>
      <c r="GT25" s="123"/>
      <c r="GU25" s="123"/>
      <c r="GV25" s="123"/>
      <c r="GW25" s="123"/>
      <c r="GX25" s="123"/>
      <c r="GY25" s="123"/>
      <c r="GZ25" s="123"/>
      <c r="HA25" s="123"/>
      <c r="HB25" s="123"/>
      <c r="HC25" s="123"/>
      <c r="HD25" s="123"/>
      <c r="HE25" s="123"/>
      <c r="HF25" s="123"/>
      <c r="HG25" s="123"/>
      <c r="HH25" s="123"/>
      <c r="HI25" s="123"/>
      <c r="HJ25" s="123"/>
      <c r="HK25" s="123"/>
      <c r="HL25" s="123"/>
      <c r="HM25" s="123"/>
      <c r="HN25" s="123"/>
      <c r="HO25" s="123"/>
      <c r="HP25" s="123"/>
      <c r="HQ25" s="123"/>
      <c r="HR25" s="123"/>
      <c r="HS25" s="123"/>
      <c r="HT25" s="123"/>
      <c r="HU25" s="123"/>
      <c r="HV25" s="123"/>
      <c r="HW25" s="123"/>
      <c r="HX25" s="123"/>
      <c r="HY25" s="123"/>
      <c r="HZ25" s="123"/>
      <c r="IA25" s="123"/>
      <c r="IB25" s="123"/>
      <c r="IC25" s="123"/>
      <c r="ID25" s="123"/>
      <c r="IE25" s="123"/>
      <c r="IF25" s="123"/>
      <c r="IG25" s="123"/>
      <c r="IH25" s="123"/>
      <c r="II25" s="123"/>
      <c r="IJ25" s="123"/>
      <c r="IK25" s="123"/>
      <c r="IL25" s="123"/>
      <c r="IM25" s="123"/>
      <c r="IN25" s="123"/>
      <c r="IO25" s="123"/>
      <c r="IP25" s="123"/>
      <c r="IQ25" s="123"/>
      <c r="IR25" s="123"/>
      <c r="IS25" s="123"/>
      <c r="IT25" s="123"/>
      <c r="IU25" s="123"/>
      <c r="IV25" s="123"/>
      <c r="IW25" s="123"/>
      <c r="IX25" s="123"/>
      <c r="IY25" s="123"/>
      <c r="IZ25" s="123"/>
      <c r="JA25" s="123"/>
      <c r="JB25" s="123"/>
      <c r="JC25" s="123"/>
      <c r="JD25" s="123"/>
      <c r="JE25" s="123"/>
      <c r="JF25" s="123"/>
      <c r="JG25" s="123"/>
      <c r="JH25" s="123"/>
      <c r="JI25" s="123"/>
      <c r="JJ25" s="123"/>
      <c r="JK25" s="123"/>
      <c r="JL25" s="123"/>
      <c r="JM25" s="123"/>
      <c r="JN25" s="123"/>
      <c r="JO25" s="123"/>
      <c r="JP25" s="123"/>
      <c r="JQ25" s="123"/>
      <c r="JR25" s="123"/>
      <c r="JS25" s="123"/>
      <c r="JT25" s="123"/>
      <c r="JU25" s="123"/>
      <c r="JV25" s="123"/>
      <c r="JW25" s="123"/>
      <c r="JX25" s="123"/>
      <c r="JY25" s="123"/>
      <c r="JZ25" s="123"/>
      <c r="KA25" s="123"/>
      <c r="KB25" s="123"/>
      <c r="KC25" s="123"/>
      <c r="KD25" s="123"/>
      <c r="KE25" s="123"/>
      <c r="KF25" s="123"/>
      <c r="KG25" s="123"/>
      <c r="KH25" s="123"/>
      <c r="KI25" s="123"/>
      <c r="KJ25" s="123"/>
      <c r="KK25" s="123"/>
      <c r="KL25" s="123"/>
      <c r="KM25" s="123"/>
      <c r="KN25" s="123"/>
      <c r="KO25" s="123"/>
      <c r="KP25" s="123"/>
      <c r="KQ25" s="123"/>
      <c r="KR25" s="123"/>
      <c r="KS25" s="123"/>
      <c r="KT25" s="123"/>
      <c r="KU25" s="123"/>
      <c r="KV25" s="123"/>
      <c r="KW25" s="123"/>
      <c r="KX25" s="123"/>
      <c r="KY25" s="123"/>
      <c r="KZ25" s="123"/>
      <c r="LA25" s="123"/>
      <c r="LB25" s="123"/>
      <c r="LC25" s="123"/>
      <c r="LD25" s="123"/>
      <c r="LE25" s="123"/>
      <c r="LF25" s="123"/>
      <c r="LG25" s="123"/>
      <c r="LH25" s="123"/>
      <c r="LI25" s="123"/>
      <c r="LJ25" s="123"/>
      <c r="LK25" s="123"/>
      <c r="LL25" s="123"/>
      <c r="LM25" s="123"/>
      <c r="LN25" s="123"/>
      <c r="LO25" s="123"/>
      <c r="LP25" s="123"/>
      <c r="LQ25" s="123"/>
      <c r="LR25" s="123"/>
      <c r="LS25" s="123"/>
      <c r="LT25" s="123"/>
      <c r="LU25" s="123"/>
      <c r="LV25" s="123"/>
      <c r="LW25" s="123"/>
      <c r="LX25" s="123"/>
      <c r="LY25" s="123"/>
      <c r="LZ25" s="123"/>
      <c r="MA25" s="123"/>
      <c r="MB25" s="123"/>
      <c r="MC25" s="123"/>
      <c r="MD25" s="123"/>
      <c r="ME25" s="123"/>
      <c r="MF25" s="123"/>
      <c r="MG25" s="123"/>
      <c r="MH25" s="123"/>
      <c r="MI25" s="123"/>
      <c r="MJ25" s="123"/>
      <c r="MK25" s="123"/>
      <c r="ML25" s="123"/>
      <c r="MM25" s="123"/>
      <c r="MN25" s="123"/>
      <c r="MO25" s="123"/>
      <c r="MP25" s="123"/>
      <c r="MQ25" s="123"/>
      <c r="MR25" s="123"/>
      <c r="MS25" s="123"/>
      <c r="MT25" s="123"/>
      <c r="MU25" s="123"/>
      <c r="MV25" s="123"/>
      <c r="MW25" s="123"/>
      <c r="MX25" s="123"/>
      <c r="MY25" s="123"/>
      <c r="MZ25" s="123"/>
      <c r="NA25" s="123"/>
      <c r="NB25" s="123"/>
      <c r="NC25" s="123"/>
      <c r="ND25" s="123"/>
      <c r="NE25" s="123"/>
      <c r="NF25" s="123"/>
      <c r="NI25" s="24"/>
      <c r="NJ25" s="24"/>
      <c r="NK25" s="24"/>
      <c r="NL25" s="24"/>
      <c r="NM25" s="24"/>
      <c r="NN25" s="24"/>
      <c r="NO25" s="24"/>
      <c r="NP25" s="24"/>
    </row>
    <row r="26" spans="2:380" ht="16.5" thickBot="1" x14ac:dyDescent="0.3">
      <c r="B26" s="7" t="s">
        <v>13</v>
      </c>
      <c r="C26" s="9" t="s">
        <v>14</v>
      </c>
      <c r="D26" s="9" t="s">
        <v>14</v>
      </c>
      <c r="E26" s="9" t="s">
        <v>14</v>
      </c>
      <c r="F26" s="9" t="s">
        <v>14</v>
      </c>
      <c r="G26" s="9" t="s">
        <v>14</v>
      </c>
      <c r="H26" s="9" t="s">
        <v>14</v>
      </c>
      <c r="I26" s="9" t="s">
        <v>14</v>
      </c>
      <c r="J26" s="9" t="s">
        <v>14</v>
      </c>
      <c r="K26" s="9" t="s">
        <v>14</v>
      </c>
      <c r="L26" s="9" t="s">
        <v>14</v>
      </c>
      <c r="M26" s="9" t="s">
        <v>14</v>
      </c>
      <c r="N26" s="9" t="s">
        <v>14</v>
      </c>
      <c r="O26" s="9" t="s">
        <v>14</v>
      </c>
      <c r="P26" s="9" t="s">
        <v>14</v>
      </c>
      <c r="Q26" s="9" t="s">
        <v>14</v>
      </c>
      <c r="R26" s="9" t="s">
        <v>14</v>
      </c>
      <c r="S26" s="9" t="s">
        <v>14</v>
      </c>
      <c r="T26" s="9" t="s">
        <v>14</v>
      </c>
      <c r="U26" s="9" t="s">
        <v>14</v>
      </c>
      <c r="V26" s="9" t="s">
        <v>14</v>
      </c>
      <c r="W26" s="9" t="s">
        <v>14</v>
      </c>
      <c r="X26" s="9" t="s">
        <v>14</v>
      </c>
      <c r="Y26" s="9" t="s">
        <v>14</v>
      </c>
      <c r="Z26" s="9" t="s">
        <v>14</v>
      </c>
      <c r="AA26" s="9" t="s">
        <v>14</v>
      </c>
      <c r="AB26" s="9" t="s">
        <v>14</v>
      </c>
      <c r="AC26" s="9" t="s">
        <v>14</v>
      </c>
      <c r="AD26" s="9" t="s">
        <v>14</v>
      </c>
      <c r="AE26" s="9" t="s">
        <v>14</v>
      </c>
      <c r="AF26" s="9" t="s">
        <v>14</v>
      </c>
      <c r="AG26" s="9" t="s">
        <v>14</v>
      </c>
      <c r="AH26" s="9" t="s">
        <v>14</v>
      </c>
      <c r="AI26" s="9" t="s">
        <v>14</v>
      </c>
      <c r="AJ26" s="9" t="s">
        <v>14</v>
      </c>
      <c r="AK26" s="9" t="s">
        <v>14</v>
      </c>
      <c r="AL26" s="9" t="s">
        <v>14</v>
      </c>
      <c r="AM26" s="9" t="s">
        <v>14</v>
      </c>
      <c r="AN26" s="9" t="s">
        <v>14</v>
      </c>
      <c r="AO26" s="9" t="s">
        <v>14</v>
      </c>
      <c r="AP26" s="9" t="s">
        <v>14</v>
      </c>
      <c r="AQ26" s="9" t="s">
        <v>14</v>
      </c>
      <c r="AR26" s="9" t="s">
        <v>14</v>
      </c>
      <c r="AS26" s="9" t="s">
        <v>14</v>
      </c>
      <c r="AT26" s="9" t="s">
        <v>14</v>
      </c>
      <c r="AU26" s="9" t="s">
        <v>14</v>
      </c>
      <c r="AV26" s="9" t="s">
        <v>14</v>
      </c>
      <c r="AW26" s="9" t="s">
        <v>14</v>
      </c>
      <c r="AX26" s="9" t="s">
        <v>14</v>
      </c>
      <c r="AY26" s="9" t="s">
        <v>14</v>
      </c>
      <c r="AZ26" s="9" t="s">
        <v>14</v>
      </c>
      <c r="BA26" s="9" t="s">
        <v>14</v>
      </c>
      <c r="BB26" s="9" t="s">
        <v>14</v>
      </c>
      <c r="BC26" s="9" t="s">
        <v>14</v>
      </c>
      <c r="BD26" s="9" t="s">
        <v>14</v>
      </c>
      <c r="BE26" s="9" t="s">
        <v>14</v>
      </c>
      <c r="BF26" s="9" t="s">
        <v>14</v>
      </c>
      <c r="BG26" s="9" t="s">
        <v>14</v>
      </c>
      <c r="BH26" s="9" t="s">
        <v>14</v>
      </c>
      <c r="BI26" s="9" t="s">
        <v>14</v>
      </c>
      <c r="BJ26" s="9" t="s">
        <v>14</v>
      </c>
      <c r="BK26" s="9" t="s">
        <v>14</v>
      </c>
      <c r="BL26" s="9" t="s">
        <v>14</v>
      </c>
      <c r="BM26" s="9" t="s">
        <v>14</v>
      </c>
      <c r="BN26" s="9" t="s">
        <v>14</v>
      </c>
      <c r="BO26" s="9" t="s">
        <v>14</v>
      </c>
      <c r="BP26" s="9" t="s">
        <v>14</v>
      </c>
      <c r="BQ26" s="9" t="s">
        <v>14</v>
      </c>
      <c r="BR26" s="9" t="s">
        <v>14</v>
      </c>
      <c r="BS26" s="9" t="s">
        <v>14</v>
      </c>
      <c r="BT26" s="9" t="s">
        <v>14</v>
      </c>
      <c r="BU26" s="9" t="s">
        <v>14</v>
      </c>
      <c r="BV26" s="9" t="s">
        <v>14</v>
      </c>
      <c r="BW26" s="9" t="s">
        <v>14</v>
      </c>
      <c r="BX26" s="9" t="s">
        <v>14</v>
      </c>
      <c r="BY26" s="9" t="s">
        <v>14</v>
      </c>
      <c r="BZ26" s="9" t="s">
        <v>14</v>
      </c>
      <c r="CA26" s="9" t="s">
        <v>14</v>
      </c>
      <c r="CB26" s="9" t="s">
        <v>14</v>
      </c>
      <c r="CC26" s="9" t="s">
        <v>14</v>
      </c>
      <c r="CD26" s="9" t="s">
        <v>14</v>
      </c>
      <c r="CE26" s="9" t="s">
        <v>14</v>
      </c>
      <c r="CF26" s="9" t="s">
        <v>14</v>
      </c>
      <c r="CG26" s="9" t="s">
        <v>14</v>
      </c>
      <c r="CH26" s="9" t="s">
        <v>14</v>
      </c>
      <c r="CI26" s="9" t="s">
        <v>14</v>
      </c>
      <c r="CJ26" s="9" t="s">
        <v>14</v>
      </c>
      <c r="CK26" s="9" t="s">
        <v>14</v>
      </c>
      <c r="CL26" s="9" t="s">
        <v>14</v>
      </c>
      <c r="CM26" s="9" t="s">
        <v>14</v>
      </c>
      <c r="CN26" s="9" t="s">
        <v>14</v>
      </c>
      <c r="CO26" s="9" t="s">
        <v>14</v>
      </c>
      <c r="CP26" s="9" t="s">
        <v>14</v>
      </c>
      <c r="CQ26" s="9" t="s">
        <v>14</v>
      </c>
      <c r="CR26" s="9" t="s">
        <v>14</v>
      </c>
      <c r="CS26" s="9" t="s">
        <v>14</v>
      </c>
      <c r="CT26" s="9" t="s">
        <v>14</v>
      </c>
      <c r="CU26" s="9" t="s">
        <v>14</v>
      </c>
      <c r="CV26" s="9" t="s">
        <v>14</v>
      </c>
      <c r="CW26" s="9" t="s">
        <v>14</v>
      </c>
      <c r="CX26" s="9" t="s">
        <v>14</v>
      </c>
      <c r="CY26" s="9" t="s">
        <v>14</v>
      </c>
      <c r="CZ26" s="9" t="s">
        <v>14</v>
      </c>
      <c r="DA26" s="9" t="s">
        <v>14</v>
      </c>
      <c r="DB26" s="9" t="s">
        <v>14</v>
      </c>
      <c r="DC26" s="9" t="s">
        <v>14</v>
      </c>
      <c r="DD26" s="9" t="s">
        <v>14</v>
      </c>
      <c r="DE26" s="9" t="s">
        <v>14</v>
      </c>
      <c r="DF26" s="9" t="s">
        <v>14</v>
      </c>
      <c r="DG26" s="9" t="s">
        <v>14</v>
      </c>
      <c r="DH26" s="9" t="s">
        <v>14</v>
      </c>
      <c r="DI26" s="9" t="s">
        <v>14</v>
      </c>
      <c r="DJ26" s="9" t="s">
        <v>14</v>
      </c>
      <c r="DK26" s="9" t="s">
        <v>14</v>
      </c>
      <c r="DL26" s="9" t="s">
        <v>14</v>
      </c>
      <c r="DM26" s="9" t="s">
        <v>14</v>
      </c>
      <c r="DN26" s="9" t="s">
        <v>14</v>
      </c>
      <c r="DO26" s="9" t="s">
        <v>14</v>
      </c>
      <c r="DP26" s="9" t="s">
        <v>14</v>
      </c>
      <c r="DQ26" s="9" t="s">
        <v>14</v>
      </c>
      <c r="DR26" s="9" t="s">
        <v>14</v>
      </c>
      <c r="DS26" s="9" t="s">
        <v>14</v>
      </c>
      <c r="DT26" s="9" t="s">
        <v>14</v>
      </c>
      <c r="DU26" s="9" t="s">
        <v>14</v>
      </c>
      <c r="DV26" s="9" t="s">
        <v>14</v>
      </c>
      <c r="DW26" s="9" t="s">
        <v>14</v>
      </c>
      <c r="DX26" s="9" t="s">
        <v>14</v>
      </c>
      <c r="DY26" s="9" t="s">
        <v>14</v>
      </c>
      <c r="DZ26" s="9" t="s">
        <v>14</v>
      </c>
      <c r="EA26" s="9" t="s">
        <v>14</v>
      </c>
      <c r="EB26" s="9" t="s">
        <v>14</v>
      </c>
      <c r="EC26" s="9" t="s">
        <v>14</v>
      </c>
      <c r="ED26" s="9" t="s">
        <v>14</v>
      </c>
      <c r="EE26" s="9" t="s">
        <v>14</v>
      </c>
      <c r="EF26" s="9" t="s">
        <v>14</v>
      </c>
      <c r="EG26" s="9" t="s">
        <v>14</v>
      </c>
      <c r="EH26" s="9" t="s">
        <v>14</v>
      </c>
      <c r="EI26" s="9" t="s">
        <v>14</v>
      </c>
      <c r="EJ26" s="9" t="s">
        <v>14</v>
      </c>
      <c r="EK26" s="9" t="s">
        <v>14</v>
      </c>
      <c r="EL26" s="9" t="s">
        <v>14</v>
      </c>
      <c r="EM26" s="9" t="s">
        <v>14</v>
      </c>
      <c r="EN26" s="9" t="s">
        <v>14</v>
      </c>
      <c r="EO26" s="9" t="s">
        <v>14</v>
      </c>
      <c r="EP26" s="9" t="s">
        <v>14</v>
      </c>
      <c r="EQ26" s="9" t="s">
        <v>14</v>
      </c>
      <c r="ER26" s="9" t="s">
        <v>14</v>
      </c>
      <c r="ES26" s="9" t="s">
        <v>14</v>
      </c>
      <c r="ET26" s="9" t="s">
        <v>14</v>
      </c>
      <c r="EU26" s="9" t="s">
        <v>14</v>
      </c>
      <c r="EV26" s="9" t="s">
        <v>14</v>
      </c>
      <c r="EW26" s="9" t="s">
        <v>14</v>
      </c>
      <c r="EX26" s="9" t="s">
        <v>14</v>
      </c>
      <c r="EY26" s="9" t="s">
        <v>14</v>
      </c>
      <c r="EZ26" s="9" t="s">
        <v>14</v>
      </c>
      <c r="FA26" s="9" t="s">
        <v>14</v>
      </c>
      <c r="FB26" s="9" t="s">
        <v>14</v>
      </c>
      <c r="FC26" s="9" t="s">
        <v>14</v>
      </c>
      <c r="FD26" s="9" t="s">
        <v>14</v>
      </c>
      <c r="FE26" s="9" t="s">
        <v>14</v>
      </c>
      <c r="FF26" s="9" t="s">
        <v>14</v>
      </c>
      <c r="FG26" s="9" t="s">
        <v>14</v>
      </c>
      <c r="FH26" s="9" t="s">
        <v>14</v>
      </c>
      <c r="FI26" s="9" t="s">
        <v>14</v>
      </c>
      <c r="FJ26" s="9" t="s">
        <v>14</v>
      </c>
      <c r="FK26" s="9" t="s">
        <v>14</v>
      </c>
      <c r="FL26" s="9" t="s">
        <v>14</v>
      </c>
      <c r="FM26" s="9" t="s">
        <v>14</v>
      </c>
      <c r="FN26" s="9" t="s">
        <v>14</v>
      </c>
      <c r="FO26" s="9" t="s">
        <v>14</v>
      </c>
      <c r="FP26" s="9" t="s">
        <v>14</v>
      </c>
      <c r="FQ26" s="9" t="s">
        <v>14</v>
      </c>
      <c r="FR26" s="9" t="s">
        <v>14</v>
      </c>
      <c r="FS26" s="9" t="s">
        <v>14</v>
      </c>
      <c r="FT26" s="9" t="s">
        <v>14</v>
      </c>
      <c r="FU26" s="9" t="s">
        <v>14</v>
      </c>
      <c r="FV26" s="9" t="s">
        <v>14</v>
      </c>
      <c r="FW26" s="9" t="s">
        <v>14</v>
      </c>
      <c r="FX26" s="9" t="s">
        <v>14</v>
      </c>
      <c r="FY26" s="9" t="s">
        <v>14</v>
      </c>
      <c r="FZ26" s="9" t="s">
        <v>14</v>
      </c>
      <c r="GA26" s="9" t="s">
        <v>14</v>
      </c>
      <c r="GB26" s="9" t="s">
        <v>14</v>
      </c>
      <c r="GC26" s="9" t="s">
        <v>14</v>
      </c>
      <c r="GD26" s="9" t="s">
        <v>14</v>
      </c>
      <c r="GE26" s="9" t="s">
        <v>14</v>
      </c>
      <c r="GF26" s="9" t="s">
        <v>14</v>
      </c>
      <c r="GG26" s="9" t="s">
        <v>14</v>
      </c>
      <c r="GH26" s="9" t="s">
        <v>14</v>
      </c>
      <c r="GI26" s="9" t="s">
        <v>14</v>
      </c>
      <c r="GJ26" s="9" t="s">
        <v>14</v>
      </c>
      <c r="GK26" s="9" t="s">
        <v>14</v>
      </c>
      <c r="GL26" s="9" t="s">
        <v>14</v>
      </c>
      <c r="GM26" s="9" t="s">
        <v>14</v>
      </c>
      <c r="GN26" s="9" t="s">
        <v>14</v>
      </c>
      <c r="GO26" s="9" t="s">
        <v>14</v>
      </c>
      <c r="GP26" s="9" t="s">
        <v>14</v>
      </c>
      <c r="GQ26" s="9" t="s">
        <v>14</v>
      </c>
      <c r="GR26" s="9" t="s">
        <v>14</v>
      </c>
      <c r="GS26" s="9" t="s">
        <v>14</v>
      </c>
      <c r="GT26" s="9" t="s">
        <v>14</v>
      </c>
      <c r="GU26" s="9" t="s">
        <v>14</v>
      </c>
      <c r="GV26" s="9" t="s">
        <v>14</v>
      </c>
      <c r="GW26" s="9" t="s">
        <v>14</v>
      </c>
      <c r="GX26" s="9" t="s">
        <v>14</v>
      </c>
      <c r="GY26" s="9" t="s">
        <v>14</v>
      </c>
      <c r="GZ26" s="9" t="s">
        <v>14</v>
      </c>
      <c r="HA26" s="9" t="s">
        <v>14</v>
      </c>
      <c r="HB26" s="9" t="s">
        <v>14</v>
      </c>
      <c r="HC26" s="9" t="s">
        <v>14</v>
      </c>
      <c r="HD26" s="9" t="s">
        <v>14</v>
      </c>
      <c r="HE26" s="9" t="s">
        <v>14</v>
      </c>
      <c r="HF26" s="9" t="s">
        <v>14</v>
      </c>
      <c r="HG26" s="9" t="s">
        <v>14</v>
      </c>
      <c r="HH26" s="9" t="s">
        <v>14</v>
      </c>
      <c r="HI26" s="9" t="s">
        <v>14</v>
      </c>
      <c r="HJ26" s="9" t="s">
        <v>14</v>
      </c>
      <c r="HK26" s="9" t="s">
        <v>14</v>
      </c>
      <c r="HL26" s="9" t="s">
        <v>14</v>
      </c>
      <c r="HM26" s="9" t="s">
        <v>14</v>
      </c>
      <c r="HN26" s="9" t="s">
        <v>14</v>
      </c>
      <c r="HO26" s="9" t="s">
        <v>14</v>
      </c>
      <c r="HP26" s="9" t="s">
        <v>14</v>
      </c>
      <c r="HQ26" s="9" t="s">
        <v>14</v>
      </c>
      <c r="HR26" s="9" t="s">
        <v>14</v>
      </c>
      <c r="HS26" s="9" t="s">
        <v>14</v>
      </c>
      <c r="HT26" s="9" t="s">
        <v>14</v>
      </c>
      <c r="HU26" s="9" t="s">
        <v>14</v>
      </c>
      <c r="HV26" s="9" t="s">
        <v>14</v>
      </c>
      <c r="HW26" s="9" t="s">
        <v>14</v>
      </c>
      <c r="HX26" s="9" t="s">
        <v>14</v>
      </c>
      <c r="HY26" s="9" t="s">
        <v>14</v>
      </c>
      <c r="HZ26" s="9" t="s">
        <v>14</v>
      </c>
      <c r="IA26" s="9" t="s">
        <v>14</v>
      </c>
      <c r="IB26" s="9" t="s">
        <v>14</v>
      </c>
      <c r="IC26" s="9" t="s">
        <v>14</v>
      </c>
      <c r="ID26" s="9" t="s">
        <v>14</v>
      </c>
      <c r="IE26" s="9" t="s">
        <v>14</v>
      </c>
      <c r="IF26" s="9" t="s">
        <v>14</v>
      </c>
      <c r="IG26" s="9" t="s">
        <v>14</v>
      </c>
      <c r="IH26" s="9" t="s">
        <v>14</v>
      </c>
      <c r="II26" s="9" t="s">
        <v>14</v>
      </c>
      <c r="IJ26" s="9" t="s">
        <v>14</v>
      </c>
      <c r="IK26" s="9" t="s">
        <v>14</v>
      </c>
      <c r="IL26" s="9" t="s">
        <v>14</v>
      </c>
      <c r="IM26" s="9" t="s">
        <v>14</v>
      </c>
      <c r="IN26" s="9" t="s">
        <v>14</v>
      </c>
      <c r="IO26" s="9" t="s">
        <v>14</v>
      </c>
      <c r="IP26" s="9" t="s">
        <v>14</v>
      </c>
      <c r="IQ26" s="9" t="s">
        <v>14</v>
      </c>
      <c r="IR26" s="9" t="s">
        <v>14</v>
      </c>
      <c r="IS26" s="9" t="s">
        <v>14</v>
      </c>
      <c r="IT26" s="9" t="s">
        <v>14</v>
      </c>
      <c r="IU26" s="9" t="s">
        <v>14</v>
      </c>
      <c r="IV26" s="9" t="s">
        <v>14</v>
      </c>
      <c r="IW26" s="9" t="s">
        <v>14</v>
      </c>
      <c r="IX26" s="9" t="s">
        <v>14</v>
      </c>
      <c r="IY26" s="9" t="s">
        <v>14</v>
      </c>
      <c r="IZ26" s="9" t="s">
        <v>14</v>
      </c>
      <c r="JA26" s="9" t="s">
        <v>14</v>
      </c>
      <c r="JB26" s="9" t="s">
        <v>14</v>
      </c>
      <c r="JC26" s="9" t="s">
        <v>14</v>
      </c>
      <c r="JD26" s="9" t="s">
        <v>14</v>
      </c>
      <c r="JE26" s="9" t="s">
        <v>14</v>
      </c>
      <c r="JF26" s="9" t="s">
        <v>14</v>
      </c>
      <c r="JG26" s="9" t="s">
        <v>14</v>
      </c>
      <c r="JH26" s="9" t="s">
        <v>14</v>
      </c>
      <c r="JI26" s="9" t="s">
        <v>14</v>
      </c>
      <c r="JJ26" s="9" t="s">
        <v>14</v>
      </c>
      <c r="JK26" s="9" t="s">
        <v>14</v>
      </c>
      <c r="JL26" s="9" t="s">
        <v>14</v>
      </c>
      <c r="JM26" s="9" t="s">
        <v>14</v>
      </c>
      <c r="JN26" s="9" t="s">
        <v>14</v>
      </c>
      <c r="JO26" s="9" t="s">
        <v>14</v>
      </c>
      <c r="JP26" s="9" t="s">
        <v>14</v>
      </c>
      <c r="JQ26" s="9" t="s">
        <v>14</v>
      </c>
      <c r="JR26" s="9" t="s">
        <v>14</v>
      </c>
      <c r="JS26" s="9" t="s">
        <v>14</v>
      </c>
      <c r="JT26" s="9" t="s">
        <v>14</v>
      </c>
      <c r="JU26" s="9" t="s">
        <v>14</v>
      </c>
      <c r="JV26" s="9" t="s">
        <v>14</v>
      </c>
      <c r="JW26" s="9" t="s">
        <v>14</v>
      </c>
      <c r="JX26" s="9" t="s">
        <v>14</v>
      </c>
      <c r="JY26" s="9" t="s">
        <v>14</v>
      </c>
      <c r="JZ26" s="9" t="s">
        <v>14</v>
      </c>
      <c r="KA26" s="9" t="s">
        <v>14</v>
      </c>
      <c r="KB26" s="9" t="s">
        <v>14</v>
      </c>
      <c r="KC26" s="9" t="s">
        <v>14</v>
      </c>
      <c r="KD26" s="9" t="s">
        <v>14</v>
      </c>
      <c r="KE26" s="9" t="s">
        <v>14</v>
      </c>
      <c r="KF26" s="9" t="s">
        <v>14</v>
      </c>
      <c r="KG26" s="9" t="s">
        <v>14</v>
      </c>
      <c r="KH26" s="9" t="s">
        <v>14</v>
      </c>
      <c r="KI26" s="9" t="s">
        <v>14</v>
      </c>
      <c r="KJ26" s="9" t="s">
        <v>14</v>
      </c>
      <c r="KK26" s="9" t="s">
        <v>14</v>
      </c>
      <c r="KL26" s="9" t="s">
        <v>14</v>
      </c>
      <c r="KM26" s="9" t="s">
        <v>14</v>
      </c>
      <c r="KN26" s="9" t="s">
        <v>14</v>
      </c>
      <c r="KO26" s="9" t="s">
        <v>14</v>
      </c>
      <c r="KP26" s="9" t="s">
        <v>14</v>
      </c>
      <c r="KQ26" s="9" t="s">
        <v>14</v>
      </c>
      <c r="KR26" s="9" t="s">
        <v>14</v>
      </c>
      <c r="KS26" s="9" t="s">
        <v>14</v>
      </c>
      <c r="KT26" s="9" t="s">
        <v>14</v>
      </c>
      <c r="KU26" s="9" t="s">
        <v>14</v>
      </c>
      <c r="KV26" s="9" t="s">
        <v>14</v>
      </c>
      <c r="KW26" s="9" t="s">
        <v>14</v>
      </c>
      <c r="KX26" s="9" t="s">
        <v>14</v>
      </c>
      <c r="KY26" s="9" t="s">
        <v>14</v>
      </c>
      <c r="KZ26" s="9" t="s">
        <v>14</v>
      </c>
      <c r="LA26" s="9" t="s">
        <v>14</v>
      </c>
      <c r="LB26" s="9" t="s">
        <v>14</v>
      </c>
      <c r="LC26" s="9" t="s">
        <v>14</v>
      </c>
      <c r="LD26" s="9" t="s">
        <v>14</v>
      </c>
      <c r="LE26" s="9" t="s">
        <v>14</v>
      </c>
      <c r="LF26" s="9" t="s">
        <v>14</v>
      </c>
      <c r="LG26" s="9" t="s">
        <v>14</v>
      </c>
      <c r="LH26" s="9" t="s">
        <v>14</v>
      </c>
      <c r="LI26" s="9" t="s">
        <v>14</v>
      </c>
      <c r="LJ26" s="9" t="s">
        <v>14</v>
      </c>
      <c r="LK26" s="9" t="s">
        <v>14</v>
      </c>
      <c r="LL26" s="9" t="s">
        <v>14</v>
      </c>
      <c r="LM26" s="9" t="s">
        <v>14</v>
      </c>
      <c r="LN26" s="9" t="s">
        <v>14</v>
      </c>
      <c r="LO26" s="9" t="s">
        <v>14</v>
      </c>
      <c r="LP26" s="9" t="s">
        <v>14</v>
      </c>
      <c r="LQ26" s="9" t="s">
        <v>14</v>
      </c>
      <c r="LR26" s="9" t="s">
        <v>14</v>
      </c>
      <c r="LS26" s="9" t="s">
        <v>14</v>
      </c>
      <c r="LT26" s="9" t="s">
        <v>14</v>
      </c>
      <c r="LU26" s="9" t="s">
        <v>14</v>
      </c>
      <c r="LV26" s="9" t="s">
        <v>14</v>
      </c>
      <c r="LW26" s="9" t="s">
        <v>14</v>
      </c>
      <c r="LX26" s="9" t="s">
        <v>14</v>
      </c>
      <c r="LY26" s="9" t="s">
        <v>14</v>
      </c>
      <c r="LZ26" s="9" t="s">
        <v>14</v>
      </c>
      <c r="MA26" s="9" t="s">
        <v>14</v>
      </c>
      <c r="MB26" s="9" t="s">
        <v>14</v>
      </c>
      <c r="MC26" s="9" t="s">
        <v>14</v>
      </c>
      <c r="MD26" s="9" t="s">
        <v>14</v>
      </c>
      <c r="ME26" s="9" t="s">
        <v>14</v>
      </c>
      <c r="MF26" s="9" t="s">
        <v>14</v>
      </c>
      <c r="MG26" s="9" t="s">
        <v>14</v>
      </c>
      <c r="MH26" s="9" t="s">
        <v>14</v>
      </c>
      <c r="MI26" s="9" t="s">
        <v>14</v>
      </c>
      <c r="MJ26" s="9" t="s">
        <v>14</v>
      </c>
      <c r="MK26" s="9" t="s">
        <v>14</v>
      </c>
      <c r="ML26" s="9" t="s">
        <v>14</v>
      </c>
      <c r="MM26" s="9" t="s">
        <v>14</v>
      </c>
      <c r="MN26" s="9" t="s">
        <v>14</v>
      </c>
      <c r="MO26" s="9" t="s">
        <v>14</v>
      </c>
      <c r="MP26" s="9" t="s">
        <v>14</v>
      </c>
      <c r="MQ26" s="9" t="s">
        <v>14</v>
      </c>
      <c r="MR26" s="9" t="s">
        <v>14</v>
      </c>
      <c r="MS26" s="9" t="s">
        <v>14</v>
      </c>
      <c r="MT26" s="9" t="s">
        <v>14</v>
      </c>
      <c r="MU26" s="9" t="s">
        <v>14</v>
      </c>
      <c r="MV26" s="9" t="s">
        <v>14</v>
      </c>
      <c r="MW26" s="9" t="s">
        <v>14</v>
      </c>
      <c r="MX26" s="9" t="s">
        <v>14</v>
      </c>
      <c r="MY26" s="9" t="s">
        <v>14</v>
      </c>
      <c r="MZ26" s="9" t="s">
        <v>14</v>
      </c>
      <c r="NA26" s="9" t="s">
        <v>14</v>
      </c>
      <c r="NB26" s="9" t="s">
        <v>14</v>
      </c>
      <c r="NC26" s="9" t="s">
        <v>14</v>
      </c>
      <c r="ND26" s="9" t="s">
        <v>14</v>
      </c>
      <c r="NE26" s="9" t="s">
        <v>14</v>
      </c>
      <c r="NF26" s="9" t="s">
        <v>14</v>
      </c>
    </row>
    <row r="27" spans="2:380" ht="15.75" x14ac:dyDescent="0.25">
      <c r="B27" s="15">
        <v>421</v>
      </c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2"/>
      <c r="AO27" s="122"/>
      <c r="AP27" s="122"/>
      <c r="AQ27" s="122"/>
      <c r="AR27" s="122"/>
      <c r="AS27" s="122"/>
      <c r="AT27" s="122"/>
      <c r="AU27" s="122"/>
      <c r="AV27" s="122"/>
      <c r="AW27" s="122"/>
      <c r="AX27" s="122"/>
      <c r="AY27" s="122"/>
      <c r="AZ27" s="122"/>
      <c r="BA27" s="122"/>
      <c r="BB27" s="122"/>
      <c r="BC27" s="122"/>
      <c r="BD27" s="122"/>
      <c r="BE27" s="122"/>
      <c r="BF27" s="122"/>
      <c r="BG27" s="122"/>
      <c r="BH27" s="122"/>
      <c r="BI27" s="122"/>
      <c r="BJ27" s="122"/>
      <c r="BK27" s="122"/>
      <c r="BL27" s="122"/>
      <c r="BM27" s="122"/>
      <c r="BN27" s="122"/>
      <c r="BO27" s="122"/>
      <c r="BP27" s="122"/>
      <c r="BQ27" s="122"/>
      <c r="BR27" s="122"/>
      <c r="BS27" s="122"/>
      <c r="BT27" s="122"/>
      <c r="BU27" s="122"/>
      <c r="BV27" s="122"/>
      <c r="BW27" s="122"/>
      <c r="BX27" s="122"/>
      <c r="BY27" s="122"/>
      <c r="BZ27" s="122"/>
      <c r="CA27" s="122"/>
      <c r="CB27" s="122"/>
      <c r="CC27" s="122"/>
      <c r="CD27" s="122"/>
      <c r="CE27" s="122"/>
      <c r="CF27" s="122"/>
      <c r="CG27" s="122"/>
      <c r="CH27" s="122"/>
      <c r="CI27" s="122"/>
      <c r="CJ27" s="122"/>
      <c r="CK27" s="122"/>
      <c r="CL27" s="122"/>
      <c r="CM27" s="122"/>
      <c r="CN27" s="122"/>
      <c r="CO27" s="122"/>
      <c r="CP27" s="122"/>
      <c r="CQ27" s="122"/>
      <c r="CR27" s="122"/>
      <c r="CS27" s="122"/>
      <c r="CT27" s="122"/>
      <c r="CU27" s="122"/>
      <c r="CV27" s="122"/>
      <c r="CW27" s="122"/>
      <c r="CX27" s="122"/>
      <c r="CY27" s="122"/>
      <c r="CZ27" s="122"/>
      <c r="DA27" s="122"/>
      <c r="DB27" s="122"/>
      <c r="DC27" s="122"/>
      <c r="DD27" s="122"/>
      <c r="DE27" s="122"/>
      <c r="DF27" s="122"/>
      <c r="DG27" s="122"/>
      <c r="DH27" s="122"/>
      <c r="DI27" s="122"/>
      <c r="DJ27" s="122"/>
      <c r="DK27" s="122"/>
      <c r="DL27" s="122"/>
      <c r="DM27" s="122"/>
      <c r="DN27" s="122"/>
      <c r="DO27" s="122"/>
      <c r="DP27" s="122"/>
      <c r="DQ27" s="122"/>
      <c r="DR27" s="122"/>
      <c r="DS27" s="122"/>
      <c r="DT27" s="122"/>
      <c r="DU27" s="122"/>
      <c r="DV27" s="122"/>
      <c r="DW27" s="122"/>
      <c r="DX27" s="122"/>
      <c r="DY27" s="122"/>
      <c r="DZ27" s="122"/>
      <c r="EA27" s="122"/>
      <c r="EB27" s="122"/>
      <c r="EC27" s="122"/>
      <c r="ED27" s="122"/>
      <c r="EE27" s="122"/>
      <c r="EF27" s="122"/>
      <c r="EG27" s="122"/>
      <c r="EH27" s="122"/>
      <c r="EI27" s="122"/>
      <c r="EJ27" s="122"/>
      <c r="EK27" s="122"/>
      <c r="EL27" s="122"/>
      <c r="EM27" s="122"/>
      <c r="EN27" s="122"/>
      <c r="EO27" s="122"/>
      <c r="EP27" s="122"/>
      <c r="EQ27" s="122"/>
      <c r="ER27" s="122"/>
      <c r="ES27" s="122"/>
      <c r="ET27" s="122"/>
      <c r="EU27" s="122"/>
      <c r="EV27" s="122"/>
      <c r="EW27" s="122"/>
      <c r="EX27" s="122"/>
      <c r="EY27" s="122"/>
      <c r="EZ27" s="122"/>
      <c r="FA27" s="122"/>
      <c r="FB27" s="122"/>
      <c r="FC27" s="122"/>
      <c r="FD27" s="122"/>
      <c r="FE27" s="122"/>
      <c r="FF27" s="122"/>
      <c r="FG27" s="122"/>
      <c r="FH27" s="122"/>
      <c r="FI27" s="122"/>
      <c r="FJ27" s="122"/>
      <c r="FK27" s="122"/>
      <c r="FL27" s="122"/>
      <c r="FM27" s="122"/>
      <c r="FN27" s="122"/>
      <c r="FO27" s="122"/>
      <c r="FP27" s="122"/>
      <c r="FQ27" s="122"/>
      <c r="FR27" s="122"/>
      <c r="FS27" s="122"/>
      <c r="FT27" s="122"/>
      <c r="FU27" s="122"/>
      <c r="FV27" s="122"/>
      <c r="FW27" s="122"/>
      <c r="FX27" s="122"/>
      <c r="FY27" s="122"/>
      <c r="FZ27" s="122"/>
      <c r="GA27" s="122"/>
      <c r="GB27" s="122"/>
      <c r="GC27" s="122"/>
      <c r="GD27" s="122"/>
      <c r="GE27" s="122"/>
      <c r="GF27" s="122"/>
      <c r="GG27" s="122"/>
      <c r="GH27" s="122"/>
      <c r="GI27" s="122"/>
      <c r="GJ27" s="122"/>
      <c r="GK27" s="122"/>
      <c r="GL27" s="122"/>
      <c r="GM27" s="122"/>
      <c r="GN27" s="122"/>
      <c r="GO27" s="122"/>
      <c r="GP27" s="122"/>
      <c r="GQ27" s="122"/>
      <c r="GR27" s="122"/>
      <c r="GS27" s="122"/>
      <c r="GT27" s="122"/>
      <c r="GU27" s="122"/>
      <c r="GV27" s="122"/>
      <c r="GW27" s="122"/>
      <c r="GX27" s="122"/>
      <c r="GY27" s="122"/>
      <c r="GZ27" s="122"/>
      <c r="HA27" s="122"/>
      <c r="HB27" s="122"/>
      <c r="HC27" s="122"/>
      <c r="HD27" s="122"/>
      <c r="HE27" s="122"/>
      <c r="HF27" s="122"/>
      <c r="HG27" s="122"/>
      <c r="HH27" s="122"/>
      <c r="HI27" s="122"/>
      <c r="HJ27" s="122"/>
      <c r="HK27" s="122"/>
      <c r="HL27" s="122"/>
      <c r="HM27" s="122"/>
      <c r="HN27" s="122"/>
      <c r="HO27" s="122"/>
      <c r="HP27" s="122"/>
      <c r="HQ27" s="122"/>
      <c r="HR27" s="122"/>
      <c r="HS27" s="122"/>
      <c r="HT27" s="122"/>
      <c r="HU27" s="122"/>
      <c r="HV27" s="122"/>
      <c r="HW27" s="122"/>
      <c r="HX27" s="122"/>
      <c r="HY27" s="122"/>
      <c r="HZ27" s="122"/>
      <c r="IA27" s="122"/>
      <c r="IB27" s="122"/>
      <c r="IC27" s="122"/>
      <c r="ID27" s="122"/>
      <c r="IE27" s="122"/>
      <c r="IF27" s="122"/>
      <c r="IG27" s="122"/>
      <c r="IH27" s="122"/>
      <c r="II27" s="122"/>
      <c r="IJ27" s="122"/>
      <c r="IK27" s="122"/>
      <c r="IL27" s="122"/>
      <c r="IM27" s="122"/>
      <c r="IN27" s="122"/>
      <c r="IO27" s="122"/>
      <c r="IP27" s="122"/>
      <c r="IQ27" s="122"/>
      <c r="IR27" s="122"/>
      <c r="IS27" s="122"/>
      <c r="IT27" s="122"/>
      <c r="IU27" s="122"/>
      <c r="IV27" s="122"/>
      <c r="IW27" s="122"/>
      <c r="IX27" s="122"/>
      <c r="IY27" s="122"/>
      <c r="IZ27" s="122"/>
      <c r="JA27" s="122"/>
      <c r="JB27" s="122"/>
      <c r="JC27" s="122"/>
      <c r="JD27" s="122"/>
      <c r="JE27" s="122"/>
      <c r="JF27" s="122"/>
      <c r="JG27" s="122"/>
      <c r="JH27" s="122"/>
      <c r="JI27" s="122"/>
      <c r="JJ27" s="122"/>
      <c r="JK27" s="122"/>
      <c r="JL27" s="122"/>
      <c r="JM27" s="122"/>
      <c r="JN27" s="122"/>
      <c r="JO27" s="122"/>
      <c r="JP27" s="122"/>
      <c r="JQ27" s="122"/>
      <c r="JR27" s="122"/>
      <c r="JS27" s="122"/>
      <c r="JT27" s="122"/>
      <c r="JU27" s="122"/>
      <c r="JV27" s="122"/>
      <c r="JW27" s="122"/>
      <c r="JX27" s="122"/>
      <c r="JY27" s="122"/>
      <c r="JZ27" s="122"/>
      <c r="KA27" s="122"/>
      <c r="KB27" s="122"/>
      <c r="KC27" s="122"/>
      <c r="KD27" s="122"/>
      <c r="KE27" s="122"/>
      <c r="KF27" s="122"/>
      <c r="KG27" s="122"/>
      <c r="KH27" s="122"/>
      <c r="KI27" s="122"/>
      <c r="KJ27" s="122"/>
      <c r="KK27" s="122"/>
      <c r="KL27" s="122"/>
      <c r="KM27" s="122"/>
      <c r="KN27" s="122"/>
      <c r="KO27" s="122"/>
      <c r="KP27" s="122"/>
      <c r="KQ27" s="122"/>
      <c r="KR27" s="122"/>
      <c r="KS27" s="122"/>
      <c r="KT27" s="122"/>
      <c r="KU27" s="122"/>
      <c r="KV27" s="122"/>
      <c r="KW27" s="122"/>
      <c r="KX27" s="122"/>
      <c r="KY27" s="122"/>
      <c r="KZ27" s="122"/>
      <c r="LA27" s="122"/>
      <c r="LB27" s="122"/>
      <c r="LC27" s="122"/>
      <c r="LD27" s="122"/>
      <c r="LE27" s="122"/>
      <c r="LF27" s="122"/>
      <c r="LG27" s="122"/>
      <c r="LH27" s="122"/>
      <c r="LI27" s="122"/>
      <c r="LJ27" s="122"/>
      <c r="LK27" s="122"/>
      <c r="LL27" s="122"/>
      <c r="LM27" s="122"/>
      <c r="LN27" s="122"/>
      <c r="LO27" s="122"/>
      <c r="LP27" s="122"/>
      <c r="LQ27" s="122"/>
      <c r="LR27" s="122"/>
      <c r="LS27" s="122"/>
      <c r="LT27" s="122"/>
      <c r="LU27" s="122"/>
      <c r="LV27" s="122"/>
      <c r="LW27" s="122"/>
      <c r="LX27" s="122"/>
      <c r="LY27" s="122"/>
      <c r="LZ27" s="122"/>
      <c r="MA27" s="122"/>
      <c r="MB27" s="122"/>
      <c r="MC27" s="122"/>
      <c r="MD27" s="122"/>
      <c r="ME27" s="122"/>
      <c r="MF27" s="122"/>
      <c r="MG27" s="122"/>
      <c r="MH27" s="122"/>
      <c r="MI27" s="122"/>
      <c r="MJ27" s="122"/>
      <c r="MK27" s="122"/>
      <c r="ML27" s="122"/>
      <c r="MM27" s="122"/>
      <c r="MN27" s="122"/>
      <c r="MO27" s="122"/>
      <c r="MP27" s="122"/>
      <c r="MQ27" s="122"/>
      <c r="MR27" s="122"/>
      <c r="MS27" s="122"/>
      <c r="MT27" s="122"/>
      <c r="MU27" s="122"/>
      <c r="MV27" s="122"/>
      <c r="MW27" s="122"/>
      <c r="MX27" s="122"/>
      <c r="MY27" s="122"/>
      <c r="MZ27" s="122"/>
      <c r="NA27" s="122"/>
      <c r="NB27" s="122"/>
      <c r="NC27" s="122"/>
      <c r="ND27" s="122"/>
      <c r="NE27" s="122"/>
      <c r="NF27" s="122"/>
      <c r="NI27" s="24"/>
      <c r="NJ27" s="24"/>
      <c r="NK27" s="24"/>
      <c r="NM27" s="24"/>
      <c r="NN27" s="24"/>
      <c r="NO27" s="24"/>
      <c r="NP27" s="24"/>
    </row>
    <row r="28" spans="2:380" ht="15.75" x14ac:dyDescent="0.25">
      <c r="B28" s="21">
        <v>422</v>
      </c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/>
      <c r="LB28" s="123"/>
      <c r="LC28" s="123"/>
      <c r="LD28" s="123"/>
      <c r="LE28" s="123"/>
      <c r="LF28" s="123"/>
      <c r="LG28" s="123"/>
      <c r="LH28" s="123"/>
      <c r="LI28" s="123"/>
      <c r="LJ28" s="123"/>
      <c r="LK28" s="123"/>
      <c r="LL28" s="123"/>
      <c r="LM28" s="123"/>
      <c r="LN28" s="123"/>
      <c r="LO28" s="123"/>
      <c r="LP28" s="123"/>
      <c r="LQ28" s="123"/>
      <c r="LR28" s="123"/>
      <c r="LS28" s="123"/>
      <c r="LT28" s="123"/>
      <c r="LU28" s="123"/>
      <c r="LV28" s="123"/>
      <c r="LW28" s="123"/>
      <c r="LX28" s="123"/>
      <c r="LY28" s="123"/>
      <c r="LZ28" s="123"/>
      <c r="MA28" s="123"/>
      <c r="MB28" s="123"/>
      <c r="MC28" s="123"/>
      <c r="MD28" s="123"/>
      <c r="ME28" s="123"/>
      <c r="MF28" s="123"/>
      <c r="MG28" s="123"/>
      <c r="MH28" s="123"/>
      <c r="MI28" s="123"/>
      <c r="MJ28" s="123"/>
      <c r="MK28" s="123"/>
      <c r="ML28" s="123"/>
      <c r="MM28" s="123"/>
      <c r="MN28" s="123"/>
      <c r="MO28" s="123"/>
      <c r="MP28" s="123"/>
      <c r="MQ28" s="123"/>
      <c r="MR28" s="123"/>
      <c r="MS28" s="123"/>
      <c r="MT28" s="123"/>
      <c r="MU28" s="123"/>
      <c r="MV28" s="123"/>
      <c r="MW28" s="123"/>
      <c r="MX28" s="123"/>
      <c r="MY28" s="123"/>
      <c r="MZ28" s="123"/>
      <c r="NA28" s="123"/>
      <c r="NB28" s="123"/>
      <c r="NC28" s="123"/>
      <c r="ND28" s="123"/>
      <c r="NE28" s="123"/>
      <c r="NF28" s="123"/>
      <c r="NI28" s="24"/>
      <c r="NK28" s="24"/>
      <c r="NL28" s="24"/>
      <c r="NM28" s="24"/>
      <c r="NN28" s="24"/>
      <c r="NP28" s="24"/>
    </row>
    <row r="29" spans="2:380" ht="15.75" x14ac:dyDescent="0.25">
      <c r="B29" s="14">
        <v>423</v>
      </c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3"/>
      <c r="DM29" s="123"/>
      <c r="DN29" s="123"/>
      <c r="DO29" s="123"/>
      <c r="DP29" s="123"/>
      <c r="DQ29" s="123"/>
      <c r="DR29" s="123"/>
      <c r="DS29" s="123"/>
      <c r="DT29" s="123"/>
      <c r="DU29" s="123"/>
      <c r="DV29" s="123"/>
      <c r="DW29" s="123"/>
      <c r="DX29" s="123"/>
      <c r="DY29" s="123"/>
      <c r="DZ29" s="123"/>
      <c r="EA29" s="123"/>
      <c r="EB29" s="123"/>
      <c r="EC29" s="123"/>
      <c r="ED29" s="123"/>
      <c r="EE29" s="123"/>
      <c r="EF29" s="123"/>
      <c r="EG29" s="123"/>
      <c r="EH29" s="123"/>
      <c r="EI29" s="123"/>
      <c r="EJ29" s="123"/>
      <c r="EK29" s="123"/>
      <c r="EL29" s="123"/>
      <c r="EM29" s="123"/>
      <c r="EN29" s="123"/>
      <c r="EO29" s="123"/>
      <c r="EP29" s="123"/>
      <c r="EQ29" s="123"/>
      <c r="ER29" s="123"/>
      <c r="ES29" s="123"/>
      <c r="ET29" s="123"/>
      <c r="EU29" s="123"/>
      <c r="EV29" s="123"/>
      <c r="EW29" s="123"/>
      <c r="EX29" s="123"/>
      <c r="EY29" s="123"/>
      <c r="EZ29" s="123"/>
      <c r="FA29" s="123"/>
      <c r="FB29" s="123"/>
      <c r="FC29" s="123"/>
      <c r="FD29" s="123"/>
      <c r="FE29" s="123"/>
      <c r="FF29" s="123"/>
      <c r="FG29" s="123"/>
      <c r="FH29" s="123"/>
      <c r="FI29" s="123"/>
      <c r="FJ29" s="123"/>
      <c r="FK29" s="123"/>
      <c r="FL29" s="123"/>
      <c r="FM29" s="123"/>
      <c r="FN29" s="123"/>
      <c r="FO29" s="123"/>
      <c r="FP29" s="123"/>
      <c r="FQ29" s="123"/>
      <c r="FR29" s="123"/>
      <c r="FS29" s="123"/>
      <c r="FT29" s="123"/>
      <c r="FU29" s="123"/>
      <c r="FV29" s="123"/>
      <c r="FW29" s="123"/>
      <c r="FX29" s="123"/>
      <c r="FY29" s="123"/>
      <c r="FZ29" s="123"/>
      <c r="GA29" s="123"/>
      <c r="GB29" s="123"/>
      <c r="GC29" s="123"/>
      <c r="GD29" s="123"/>
      <c r="GE29" s="123"/>
      <c r="GF29" s="123"/>
      <c r="GG29" s="123"/>
      <c r="GH29" s="123"/>
      <c r="GI29" s="123"/>
      <c r="GJ29" s="123"/>
      <c r="GK29" s="123"/>
      <c r="GL29" s="123"/>
      <c r="GM29" s="123"/>
      <c r="GN29" s="123"/>
      <c r="GO29" s="123"/>
      <c r="GP29" s="123"/>
      <c r="GQ29" s="123"/>
      <c r="GR29" s="123"/>
      <c r="GS29" s="123"/>
      <c r="GT29" s="123"/>
      <c r="GU29" s="123"/>
      <c r="GV29" s="123"/>
      <c r="GW29" s="123"/>
      <c r="GX29" s="123"/>
      <c r="GY29" s="123"/>
      <c r="GZ29" s="123"/>
      <c r="HA29" s="123"/>
      <c r="HB29" s="123"/>
      <c r="HC29" s="123"/>
      <c r="HD29" s="123"/>
      <c r="HE29" s="123"/>
      <c r="HF29" s="123"/>
      <c r="HG29" s="123"/>
      <c r="HH29" s="123"/>
      <c r="HI29" s="123"/>
      <c r="HJ29" s="123"/>
      <c r="HK29" s="123"/>
      <c r="HL29" s="123"/>
      <c r="HM29" s="123"/>
      <c r="HN29" s="123"/>
      <c r="HO29" s="123"/>
      <c r="HP29" s="123"/>
      <c r="HQ29" s="123"/>
      <c r="HR29" s="123"/>
      <c r="HS29" s="123"/>
      <c r="HT29" s="123"/>
      <c r="HU29" s="123"/>
      <c r="HV29" s="123"/>
      <c r="HW29" s="123"/>
      <c r="HX29" s="123"/>
      <c r="HY29" s="123"/>
      <c r="HZ29" s="123"/>
      <c r="IA29" s="123"/>
      <c r="IB29" s="123"/>
      <c r="IC29" s="123"/>
      <c r="ID29" s="123"/>
      <c r="IE29" s="123"/>
      <c r="IF29" s="123"/>
      <c r="IG29" s="123"/>
      <c r="IH29" s="123"/>
      <c r="II29" s="123"/>
      <c r="IJ29" s="123"/>
      <c r="IK29" s="123"/>
      <c r="IL29" s="123"/>
      <c r="IM29" s="123"/>
      <c r="IN29" s="123"/>
      <c r="IO29" s="123"/>
      <c r="IP29" s="123"/>
      <c r="IQ29" s="123"/>
      <c r="IR29" s="123"/>
      <c r="IS29" s="123"/>
      <c r="IT29" s="123"/>
      <c r="IU29" s="123"/>
      <c r="IV29" s="123"/>
      <c r="IW29" s="123"/>
      <c r="IX29" s="123"/>
      <c r="IY29" s="123"/>
      <c r="IZ29" s="123"/>
      <c r="JA29" s="123"/>
      <c r="JB29" s="123"/>
      <c r="JC29" s="123"/>
      <c r="JD29" s="123"/>
      <c r="JE29" s="123"/>
      <c r="JF29" s="123"/>
      <c r="JG29" s="123"/>
      <c r="JH29" s="123"/>
      <c r="JI29" s="123"/>
      <c r="JJ29" s="123"/>
      <c r="JK29" s="123"/>
      <c r="JL29" s="123"/>
      <c r="JM29" s="123"/>
      <c r="JN29" s="123"/>
      <c r="JO29" s="123"/>
      <c r="JP29" s="123"/>
      <c r="JQ29" s="123"/>
      <c r="JR29" s="123"/>
      <c r="JS29" s="123"/>
      <c r="JT29" s="123"/>
      <c r="JU29" s="123"/>
      <c r="JV29" s="123"/>
      <c r="JW29" s="123"/>
      <c r="JX29" s="123"/>
      <c r="JY29" s="123"/>
      <c r="JZ29" s="123"/>
      <c r="KA29" s="123"/>
      <c r="KB29" s="123"/>
      <c r="KC29" s="123"/>
      <c r="KD29" s="123"/>
      <c r="KE29" s="123"/>
      <c r="KF29" s="123"/>
      <c r="KG29" s="123"/>
      <c r="KH29" s="123"/>
      <c r="KI29" s="123"/>
      <c r="KJ29" s="123"/>
      <c r="KK29" s="123"/>
      <c r="KL29" s="123"/>
      <c r="KM29" s="123"/>
      <c r="KN29" s="123"/>
      <c r="KO29" s="123"/>
      <c r="KP29" s="123"/>
      <c r="KQ29" s="123"/>
      <c r="KR29" s="123"/>
      <c r="KS29" s="123"/>
      <c r="KT29" s="123"/>
      <c r="KU29" s="123"/>
      <c r="KV29" s="123"/>
      <c r="KW29" s="123"/>
      <c r="KX29" s="123"/>
      <c r="KY29" s="123"/>
      <c r="KZ29" s="123"/>
      <c r="LA29" s="123"/>
      <c r="LB29" s="123"/>
      <c r="LC29" s="123"/>
      <c r="LD29" s="123"/>
      <c r="LE29" s="123"/>
      <c r="LF29" s="123"/>
      <c r="LG29" s="123"/>
      <c r="LH29" s="123"/>
      <c r="LI29" s="123"/>
      <c r="LJ29" s="123"/>
      <c r="LK29" s="123"/>
      <c r="LL29" s="123"/>
      <c r="LM29" s="123"/>
      <c r="LN29" s="123"/>
      <c r="LO29" s="123"/>
      <c r="LP29" s="123"/>
      <c r="LQ29" s="123"/>
      <c r="LR29" s="123"/>
      <c r="LS29" s="123"/>
      <c r="LT29" s="123"/>
      <c r="LU29" s="123"/>
      <c r="LV29" s="123"/>
      <c r="LW29" s="123"/>
      <c r="LX29" s="123"/>
      <c r="LY29" s="123"/>
      <c r="LZ29" s="123"/>
      <c r="MA29" s="123"/>
      <c r="MB29" s="123"/>
      <c r="MC29" s="123"/>
      <c r="MD29" s="123"/>
      <c r="ME29" s="123"/>
      <c r="MF29" s="123"/>
      <c r="MG29" s="123"/>
      <c r="MH29" s="123"/>
      <c r="MI29" s="123"/>
      <c r="MJ29" s="123"/>
      <c r="MK29" s="123"/>
      <c r="ML29" s="123"/>
      <c r="MM29" s="123"/>
      <c r="MN29" s="123"/>
      <c r="MO29" s="123"/>
      <c r="MP29" s="123"/>
      <c r="MQ29" s="123"/>
      <c r="MR29" s="123"/>
      <c r="MS29" s="123"/>
      <c r="MT29" s="123"/>
      <c r="MU29" s="123"/>
      <c r="MV29" s="123"/>
      <c r="MW29" s="123"/>
      <c r="MX29" s="123"/>
      <c r="MY29" s="123"/>
      <c r="MZ29" s="123"/>
      <c r="NA29" s="123"/>
      <c r="NB29" s="123"/>
      <c r="NC29" s="123"/>
      <c r="ND29" s="123"/>
      <c r="NE29" s="123"/>
      <c r="NF29" s="123"/>
      <c r="NI29" s="24"/>
      <c r="NJ29" s="24"/>
      <c r="NM29" s="24"/>
      <c r="NN29" s="24"/>
      <c r="NO29" s="24"/>
      <c r="NP29" s="24"/>
    </row>
    <row r="30" spans="2:380" ht="15.75" x14ac:dyDescent="0.25">
      <c r="B30" s="21">
        <v>424</v>
      </c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3"/>
      <c r="DM30" s="123"/>
      <c r="DN30" s="123"/>
      <c r="DO30" s="123"/>
      <c r="DP30" s="123"/>
      <c r="DQ30" s="123"/>
      <c r="DR30" s="123"/>
      <c r="DS30" s="123"/>
      <c r="DT30" s="123"/>
      <c r="DU30" s="123"/>
      <c r="DV30" s="123"/>
      <c r="DW30" s="123"/>
      <c r="DX30" s="123"/>
      <c r="DY30" s="123"/>
      <c r="DZ30" s="123"/>
      <c r="EA30" s="123"/>
      <c r="EB30" s="123"/>
      <c r="EC30" s="123"/>
      <c r="ED30" s="123"/>
      <c r="EE30" s="123"/>
      <c r="EF30" s="123"/>
      <c r="EG30" s="123"/>
      <c r="EH30" s="123"/>
      <c r="EI30" s="123"/>
      <c r="EJ30" s="123"/>
      <c r="EK30" s="123"/>
      <c r="EL30" s="123"/>
      <c r="EM30" s="123"/>
      <c r="EN30" s="123"/>
      <c r="EO30" s="123"/>
      <c r="EP30" s="123"/>
      <c r="EQ30" s="123"/>
      <c r="ER30" s="123"/>
      <c r="ES30" s="123"/>
      <c r="ET30" s="123"/>
      <c r="EU30" s="123"/>
      <c r="EV30" s="123"/>
      <c r="EW30" s="123"/>
      <c r="EX30" s="123"/>
      <c r="EY30" s="123"/>
      <c r="EZ30" s="123"/>
      <c r="FA30" s="123"/>
      <c r="FB30" s="123"/>
      <c r="FC30" s="123"/>
      <c r="FD30" s="123"/>
      <c r="FE30" s="123"/>
      <c r="FF30" s="123"/>
      <c r="FG30" s="123"/>
      <c r="FH30" s="123"/>
      <c r="FI30" s="123"/>
      <c r="FJ30" s="123"/>
      <c r="FK30" s="123"/>
      <c r="FL30" s="123"/>
      <c r="FM30" s="123"/>
      <c r="FN30" s="123"/>
      <c r="FO30" s="123"/>
      <c r="FP30" s="123"/>
      <c r="FQ30" s="123"/>
      <c r="FR30" s="123"/>
      <c r="FS30" s="123"/>
      <c r="FT30" s="123"/>
      <c r="FU30" s="123"/>
      <c r="FV30" s="123"/>
      <c r="FW30" s="123"/>
      <c r="FX30" s="123"/>
      <c r="FY30" s="123"/>
      <c r="FZ30" s="123"/>
      <c r="GA30" s="123"/>
      <c r="GB30" s="123"/>
      <c r="GC30" s="123"/>
      <c r="GD30" s="123"/>
      <c r="GE30" s="123"/>
      <c r="GF30" s="123"/>
      <c r="GG30" s="123"/>
      <c r="GH30" s="123"/>
      <c r="GI30" s="123"/>
      <c r="GJ30" s="123"/>
      <c r="GK30" s="123"/>
      <c r="GL30" s="123"/>
      <c r="GM30" s="123"/>
      <c r="GN30" s="123"/>
      <c r="GO30" s="123"/>
      <c r="GP30" s="123"/>
      <c r="GQ30" s="123"/>
      <c r="GR30" s="123"/>
      <c r="GS30" s="123"/>
      <c r="GT30" s="123"/>
      <c r="GU30" s="123"/>
      <c r="GV30" s="123"/>
      <c r="GW30" s="123"/>
      <c r="GX30" s="123"/>
      <c r="GY30" s="123"/>
      <c r="GZ30" s="123"/>
      <c r="HA30" s="123"/>
      <c r="HB30" s="123"/>
      <c r="HC30" s="123"/>
      <c r="HD30" s="123"/>
      <c r="HE30" s="123"/>
      <c r="HF30" s="123"/>
      <c r="HG30" s="123"/>
      <c r="HH30" s="123"/>
      <c r="HI30" s="123"/>
      <c r="HJ30" s="123"/>
      <c r="HK30" s="123"/>
      <c r="HL30" s="123"/>
      <c r="HM30" s="123"/>
      <c r="HN30" s="123"/>
      <c r="HO30" s="123"/>
      <c r="HP30" s="123"/>
      <c r="HQ30" s="123"/>
      <c r="HR30" s="123"/>
      <c r="HS30" s="123"/>
      <c r="HT30" s="123"/>
      <c r="HU30" s="123"/>
      <c r="HV30" s="123"/>
      <c r="HW30" s="123"/>
      <c r="HX30" s="123"/>
      <c r="HY30" s="123"/>
      <c r="HZ30" s="123"/>
      <c r="IA30" s="123"/>
      <c r="IB30" s="123"/>
      <c r="IC30" s="123"/>
      <c r="ID30" s="123"/>
      <c r="IE30" s="123"/>
      <c r="IF30" s="123"/>
      <c r="IG30" s="123"/>
      <c r="IH30" s="123"/>
      <c r="II30" s="123"/>
      <c r="IJ30" s="123"/>
      <c r="IK30" s="123"/>
      <c r="IL30" s="123"/>
      <c r="IM30" s="123"/>
      <c r="IN30" s="123"/>
      <c r="IO30" s="123"/>
      <c r="IP30" s="123"/>
      <c r="IQ30" s="123"/>
      <c r="IR30" s="123"/>
      <c r="IS30" s="123"/>
      <c r="IT30" s="123"/>
      <c r="IU30" s="123"/>
      <c r="IV30" s="123"/>
      <c r="IW30" s="123"/>
      <c r="IX30" s="123"/>
      <c r="IY30" s="123"/>
      <c r="IZ30" s="123"/>
      <c r="JA30" s="123"/>
      <c r="JB30" s="123"/>
      <c r="JC30" s="123"/>
      <c r="JD30" s="123"/>
      <c r="JE30" s="123"/>
      <c r="JF30" s="123"/>
      <c r="JG30" s="123"/>
      <c r="JH30" s="123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123"/>
      <c r="LK30" s="123"/>
      <c r="LL30" s="123"/>
      <c r="LM30" s="123"/>
      <c r="LN30" s="123"/>
      <c r="LO30" s="123"/>
      <c r="LP30" s="123"/>
      <c r="LQ30" s="123"/>
      <c r="LR30" s="123"/>
      <c r="LS30" s="123"/>
      <c r="LT30" s="123"/>
      <c r="LU30" s="123"/>
      <c r="LV30" s="123"/>
      <c r="LW30" s="123"/>
      <c r="LX30" s="123"/>
      <c r="LY30" s="123"/>
      <c r="LZ30" s="123"/>
      <c r="MA30" s="123"/>
      <c r="MB30" s="123"/>
      <c r="MC30" s="123"/>
      <c r="MD30" s="123"/>
      <c r="ME30" s="123"/>
      <c r="MF30" s="123"/>
      <c r="MG30" s="123"/>
      <c r="MH30" s="123"/>
      <c r="MI30" s="123"/>
      <c r="MJ30" s="123"/>
      <c r="MK30" s="123"/>
      <c r="ML30" s="123"/>
      <c r="MM30" s="123"/>
      <c r="MN30" s="123"/>
      <c r="MO30" s="123"/>
      <c r="MP30" s="123"/>
      <c r="MQ30" s="123"/>
      <c r="MR30" s="123"/>
      <c r="MS30" s="123"/>
      <c r="MT30" s="123"/>
      <c r="MU30" s="123"/>
      <c r="MV30" s="123"/>
      <c r="MW30" s="123"/>
      <c r="MX30" s="123"/>
      <c r="MY30" s="123"/>
      <c r="MZ30" s="123"/>
      <c r="NA30" s="123"/>
      <c r="NB30" s="123"/>
      <c r="NC30" s="123"/>
      <c r="ND30" s="123"/>
      <c r="NE30" s="123"/>
      <c r="NF30" s="123"/>
      <c r="NI30" s="24"/>
      <c r="NJ30" s="24"/>
      <c r="NK30" s="24"/>
      <c r="NM30" s="24"/>
      <c r="NN30" s="24"/>
      <c r="NO30" s="24"/>
      <c r="NP30" s="24"/>
    </row>
    <row r="31" spans="2:380" ht="15.75" x14ac:dyDescent="0.25">
      <c r="B31" s="14">
        <v>425</v>
      </c>
      <c r="C31" s="125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5"/>
      <c r="BA31" s="125"/>
      <c r="BB31" s="125"/>
      <c r="BC31" s="125"/>
      <c r="BD31" s="125"/>
      <c r="BE31" s="125"/>
      <c r="BF31" s="125"/>
      <c r="BG31" s="125"/>
      <c r="BH31" s="125"/>
      <c r="BI31" s="125"/>
      <c r="BJ31" s="125"/>
      <c r="BK31" s="125"/>
      <c r="BL31" s="125"/>
      <c r="BM31" s="125"/>
      <c r="BN31" s="125"/>
      <c r="BO31" s="125"/>
      <c r="BP31" s="125"/>
      <c r="BQ31" s="125"/>
      <c r="BR31" s="125"/>
      <c r="BS31" s="125"/>
      <c r="BT31" s="125"/>
      <c r="BU31" s="125"/>
      <c r="BV31" s="125"/>
      <c r="BW31" s="125"/>
      <c r="BX31" s="125"/>
      <c r="BY31" s="125"/>
      <c r="BZ31" s="125"/>
      <c r="CA31" s="125"/>
      <c r="CB31" s="125"/>
      <c r="CC31" s="125"/>
      <c r="CD31" s="125"/>
      <c r="CE31" s="125"/>
      <c r="CF31" s="125"/>
      <c r="CG31" s="125"/>
      <c r="CH31" s="125"/>
      <c r="CI31" s="125"/>
      <c r="CJ31" s="125"/>
      <c r="CK31" s="125"/>
      <c r="CL31" s="125"/>
      <c r="CM31" s="125"/>
      <c r="CN31" s="125"/>
      <c r="CO31" s="125"/>
      <c r="CP31" s="125"/>
      <c r="CQ31" s="125"/>
      <c r="CR31" s="125"/>
      <c r="CS31" s="125"/>
      <c r="CT31" s="125"/>
      <c r="CU31" s="125"/>
      <c r="CV31" s="125"/>
      <c r="CW31" s="125"/>
      <c r="CX31" s="125"/>
      <c r="CY31" s="125"/>
      <c r="CZ31" s="125"/>
      <c r="DA31" s="125"/>
      <c r="DB31" s="125"/>
      <c r="DC31" s="125"/>
      <c r="DD31" s="125"/>
      <c r="DE31" s="125"/>
      <c r="DF31" s="125"/>
      <c r="DG31" s="125"/>
      <c r="DH31" s="125"/>
      <c r="DI31" s="125"/>
      <c r="DJ31" s="125"/>
      <c r="DK31" s="125"/>
      <c r="DL31" s="125"/>
      <c r="DM31" s="125"/>
      <c r="DN31" s="125"/>
      <c r="DO31" s="125"/>
      <c r="DP31" s="125"/>
      <c r="DQ31" s="125"/>
      <c r="DR31" s="125"/>
      <c r="DS31" s="125"/>
      <c r="DT31" s="125"/>
      <c r="DU31" s="125"/>
      <c r="DV31" s="125"/>
      <c r="DW31" s="125"/>
      <c r="DX31" s="125"/>
      <c r="DY31" s="125"/>
      <c r="DZ31" s="125"/>
      <c r="EA31" s="125"/>
      <c r="EB31" s="125"/>
      <c r="EC31" s="125"/>
      <c r="ED31" s="125"/>
      <c r="EE31" s="125"/>
      <c r="EF31" s="125"/>
      <c r="EG31" s="125"/>
      <c r="EH31" s="125"/>
      <c r="EI31" s="125"/>
      <c r="EJ31" s="125"/>
      <c r="EK31" s="125"/>
      <c r="EL31" s="125"/>
      <c r="EM31" s="125"/>
      <c r="EN31" s="125"/>
      <c r="EO31" s="125"/>
      <c r="EP31" s="125"/>
      <c r="EQ31" s="125"/>
      <c r="ER31" s="125"/>
      <c r="ES31" s="125"/>
      <c r="ET31" s="125"/>
      <c r="EU31" s="125"/>
      <c r="EV31" s="125"/>
      <c r="EW31" s="125"/>
      <c r="EX31" s="125"/>
      <c r="EY31" s="125"/>
      <c r="EZ31" s="125"/>
      <c r="FA31" s="125"/>
      <c r="FB31" s="125"/>
      <c r="FC31" s="125"/>
      <c r="FD31" s="125"/>
      <c r="FE31" s="125"/>
      <c r="FF31" s="125"/>
      <c r="FG31" s="125"/>
      <c r="FH31" s="125"/>
      <c r="FI31" s="125"/>
      <c r="FJ31" s="125"/>
      <c r="FK31" s="125"/>
      <c r="FL31" s="125"/>
      <c r="FM31" s="125"/>
      <c r="FN31" s="125"/>
      <c r="FO31" s="125"/>
      <c r="FP31" s="125"/>
      <c r="FQ31" s="125"/>
      <c r="FR31" s="125"/>
      <c r="FS31" s="125"/>
      <c r="FT31" s="125"/>
      <c r="FU31" s="125"/>
      <c r="FV31" s="125"/>
      <c r="FW31" s="125"/>
      <c r="FX31" s="125"/>
      <c r="FY31" s="125"/>
      <c r="FZ31" s="125"/>
      <c r="GA31" s="125"/>
      <c r="GB31" s="125"/>
      <c r="GC31" s="125"/>
      <c r="GD31" s="125"/>
      <c r="GE31" s="125"/>
      <c r="GF31" s="125"/>
      <c r="GG31" s="125"/>
      <c r="GH31" s="125"/>
      <c r="GI31" s="125"/>
      <c r="GJ31" s="125"/>
      <c r="GK31" s="125"/>
      <c r="GL31" s="125"/>
      <c r="GM31" s="125"/>
      <c r="GN31" s="125"/>
      <c r="GO31" s="125"/>
      <c r="GP31" s="125"/>
      <c r="GQ31" s="125"/>
      <c r="GR31" s="125"/>
      <c r="GS31" s="125"/>
      <c r="GT31" s="125"/>
      <c r="GU31" s="125"/>
      <c r="GV31" s="125"/>
      <c r="GW31" s="125"/>
      <c r="GX31" s="125"/>
      <c r="GY31" s="125"/>
      <c r="GZ31" s="125"/>
      <c r="HA31" s="125"/>
      <c r="HB31" s="125"/>
      <c r="HC31" s="125"/>
      <c r="HD31" s="125"/>
      <c r="HE31" s="125"/>
      <c r="HF31" s="125"/>
      <c r="HG31" s="125"/>
      <c r="HH31" s="125"/>
      <c r="HI31" s="125"/>
      <c r="HJ31" s="125"/>
      <c r="HK31" s="125"/>
      <c r="HL31" s="125"/>
      <c r="HM31" s="125"/>
      <c r="HN31" s="125"/>
      <c r="HO31" s="125"/>
      <c r="HP31" s="125"/>
      <c r="HQ31" s="125"/>
      <c r="HR31" s="125"/>
      <c r="HS31" s="125"/>
      <c r="HT31" s="125"/>
      <c r="HU31" s="125"/>
      <c r="HV31" s="125"/>
      <c r="HW31" s="125"/>
      <c r="HX31" s="125"/>
      <c r="HY31" s="125"/>
      <c r="HZ31" s="125"/>
      <c r="IA31" s="125"/>
      <c r="IB31" s="125"/>
      <c r="IC31" s="125"/>
      <c r="ID31" s="125"/>
      <c r="IE31" s="125"/>
      <c r="IF31" s="125"/>
      <c r="IG31" s="125"/>
      <c r="IH31" s="125"/>
      <c r="II31" s="125"/>
      <c r="IJ31" s="125"/>
      <c r="IK31" s="125"/>
      <c r="IL31" s="125"/>
      <c r="IM31" s="125"/>
      <c r="IN31" s="125"/>
      <c r="IO31" s="125"/>
      <c r="IP31" s="125"/>
      <c r="IQ31" s="125"/>
      <c r="IR31" s="125"/>
      <c r="IS31" s="125"/>
      <c r="IT31" s="125"/>
      <c r="IU31" s="125"/>
      <c r="IV31" s="125"/>
      <c r="IW31" s="125"/>
      <c r="IX31" s="125"/>
      <c r="IY31" s="125"/>
      <c r="IZ31" s="125"/>
      <c r="JA31" s="125"/>
      <c r="JB31" s="125"/>
      <c r="JC31" s="125"/>
      <c r="JD31" s="125"/>
      <c r="JE31" s="125"/>
      <c r="JF31" s="125"/>
      <c r="JG31" s="125"/>
      <c r="JH31" s="125"/>
      <c r="JI31" s="125"/>
      <c r="JJ31" s="125"/>
      <c r="JK31" s="125"/>
      <c r="JL31" s="125"/>
      <c r="JM31" s="125"/>
      <c r="JN31" s="125"/>
      <c r="JO31" s="125"/>
      <c r="JP31" s="125"/>
      <c r="JQ31" s="125"/>
      <c r="JR31" s="125"/>
      <c r="JS31" s="125"/>
      <c r="JT31" s="125"/>
      <c r="JU31" s="125"/>
      <c r="JV31" s="125"/>
      <c r="JW31" s="125"/>
      <c r="JX31" s="125"/>
      <c r="JY31" s="125"/>
      <c r="JZ31" s="125"/>
      <c r="KA31" s="125"/>
      <c r="KB31" s="125"/>
      <c r="KC31" s="125"/>
      <c r="KD31" s="125"/>
      <c r="KE31" s="125"/>
      <c r="KF31" s="125"/>
      <c r="KG31" s="125"/>
      <c r="KH31" s="125"/>
      <c r="KI31" s="125"/>
      <c r="KJ31" s="125"/>
      <c r="KK31" s="125"/>
      <c r="KL31" s="125"/>
      <c r="KM31" s="125"/>
      <c r="KN31" s="125"/>
      <c r="KO31" s="125"/>
      <c r="KP31" s="125"/>
      <c r="KQ31" s="125"/>
      <c r="KR31" s="125"/>
      <c r="KS31" s="125"/>
      <c r="KT31" s="125"/>
      <c r="KU31" s="125"/>
      <c r="KV31" s="125"/>
      <c r="KW31" s="125"/>
      <c r="KX31" s="125"/>
      <c r="KY31" s="125"/>
      <c r="KZ31" s="125"/>
      <c r="LA31" s="125"/>
      <c r="LB31" s="125"/>
      <c r="LC31" s="125"/>
      <c r="LD31" s="125"/>
      <c r="LE31" s="125"/>
      <c r="LF31" s="125"/>
      <c r="LG31" s="125"/>
      <c r="LH31" s="125"/>
      <c r="LI31" s="125"/>
      <c r="LJ31" s="125"/>
      <c r="LK31" s="125"/>
      <c r="LL31" s="125"/>
      <c r="LM31" s="125"/>
      <c r="LN31" s="125"/>
      <c r="LO31" s="125"/>
      <c r="LP31" s="125"/>
      <c r="LQ31" s="125"/>
      <c r="LR31" s="125"/>
      <c r="LS31" s="125"/>
      <c r="LT31" s="125"/>
      <c r="LU31" s="125"/>
      <c r="LV31" s="125"/>
      <c r="LW31" s="125"/>
      <c r="LX31" s="125"/>
      <c r="LY31" s="125"/>
      <c r="LZ31" s="125"/>
      <c r="MA31" s="125"/>
      <c r="MB31" s="125"/>
      <c r="MC31" s="125"/>
      <c r="MD31" s="125"/>
      <c r="ME31" s="125"/>
      <c r="MF31" s="125"/>
      <c r="MG31" s="125"/>
      <c r="MH31" s="125"/>
      <c r="MI31" s="125"/>
      <c r="MJ31" s="125"/>
      <c r="MK31" s="125"/>
      <c r="ML31" s="125"/>
      <c r="MM31" s="125"/>
      <c r="MN31" s="125"/>
      <c r="MO31" s="125"/>
      <c r="MP31" s="125"/>
      <c r="MQ31" s="125"/>
      <c r="MR31" s="125"/>
      <c r="MS31" s="125"/>
      <c r="MT31" s="125"/>
      <c r="MU31" s="125"/>
      <c r="MV31" s="125"/>
      <c r="MW31" s="125"/>
      <c r="MX31" s="125"/>
      <c r="MY31" s="125"/>
      <c r="MZ31" s="125"/>
      <c r="NA31" s="125"/>
      <c r="NB31" s="125"/>
      <c r="NC31" s="125"/>
      <c r="ND31" s="125"/>
      <c r="NE31" s="125"/>
      <c r="NF31" s="125"/>
      <c r="NI31" s="24"/>
      <c r="NJ31" s="24"/>
      <c r="NK31" s="24"/>
      <c r="NL31" s="24"/>
      <c r="NM31" s="24"/>
      <c r="NN31" s="24"/>
      <c r="NO31" s="24"/>
      <c r="NP31" s="24"/>
    </row>
    <row r="32" spans="2:380" ht="15.75" x14ac:dyDescent="0.25">
      <c r="B32" s="21">
        <v>426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123"/>
      <c r="CH32" s="123"/>
      <c r="CI32" s="123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3"/>
      <c r="CZ32" s="123"/>
      <c r="DA32" s="123"/>
      <c r="DB32" s="123"/>
      <c r="DC32" s="123"/>
      <c r="DD32" s="123"/>
      <c r="DE32" s="123"/>
      <c r="DF32" s="123"/>
      <c r="DG32" s="123"/>
      <c r="DH32" s="123"/>
      <c r="DI32" s="123"/>
      <c r="DJ32" s="123"/>
      <c r="DK32" s="123"/>
      <c r="DL32" s="123"/>
      <c r="DM32" s="123"/>
      <c r="DN32" s="123"/>
      <c r="DO32" s="123"/>
      <c r="DP32" s="123"/>
      <c r="DQ32" s="123"/>
      <c r="DR32" s="123"/>
      <c r="DS32" s="123"/>
      <c r="DT32" s="123"/>
      <c r="DU32" s="123"/>
      <c r="DV32" s="123"/>
      <c r="DW32" s="123"/>
      <c r="DX32" s="123"/>
      <c r="DY32" s="123"/>
      <c r="DZ32" s="123"/>
      <c r="EA32" s="123"/>
      <c r="EB32" s="123"/>
      <c r="EC32" s="123"/>
      <c r="ED32" s="123"/>
      <c r="EE32" s="123"/>
      <c r="EF32" s="123"/>
      <c r="EG32" s="123"/>
      <c r="EH32" s="123"/>
      <c r="EI32" s="123"/>
      <c r="EJ32" s="123"/>
      <c r="EK32" s="123"/>
      <c r="EL32" s="123"/>
      <c r="EM32" s="123"/>
      <c r="EN32" s="123"/>
      <c r="EO32" s="123"/>
      <c r="EP32" s="123"/>
      <c r="EQ32" s="123"/>
      <c r="ER32" s="123"/>
      <c r="ES32" s="123"/>
      <c r="ET32" s="123"/>
      <c r="EU32" s="123"/>
      <c r="EV32" s="123"/>
      <c r="EW32" s="123"/>
      <c r="EX32" s="123"/>
      <c r="EY32" s="123"/>
      <c r="EZ32" s="123"/>
      <c r="FA32" s="123"/>
      <c r="FB32" s="123"/>
      <c r="FC32" s="123"/>
      <c r="FD32" s="123"/>
      <c r="FE32" s="123"/>
      <c r="FF32" s="123"/>
      <c r="FG32" s="123"/>
      <c r="FH32" s="123"/>
      <c r="FI32" s="123"/>
      <c r="FJ32" s="123"/>
      <c r="FK32" s="123"/>
      <c r="FL32" s="123"/>
      <c r="FM32" s="123"/>
      <c r="FN32" s="123"/>
      <c r="FO32" s="123"/>
      <c r="FP32" s="123"/>
      <c r="FQ32" s="123"/>
      <c r="FR32" s="123"/>
      <c r="FS32" s="123"/>
      <c r="FT32" s="123"/>
      <c r="FU32" s="123"/>
      <c r="FV32" s="123"/>
      <c r="FW32" s="123"/>
      <c r="FX32" s="123"/>
      <c r="FY32" s="123"/>
      <c r="FZ32" s="123"/>
      <c r="GA32" s="123"/>
      <c r="GB32" s="123"/>
      <c r="GC32" s="123"/>
      <c r="GD32" s="123"/>
      <c r="GE32" s="123"/>
      <c r="GF32" s="123"/>
      <c r="GG32" s="123"/>
      <c r="GH32" s="123"/>
      <c r="GI32" s="123"/>
      <c r="GJ32" s="123"/>
      <c r="GK32" s="123"/>
      <c r="GL32" s="123"/>
      <c r="GM32" s="123"/>
      <c r="GN32" s="123"/>
      <c r="GO32" s="123"/>
      <c r="GP32" s="123"/>
      <c r="GQ32" s="123"/>
      <c r="GR32" s="123"/>
      <c r="GS32" s="123"/>
      <c r="GT32" s="123"/>
      <c r="GU32" s="123"/>
      <c r="GV32" s="123"/>
      <c r="GW32" s="123"/>
      <c r="GX32" s="123"/>
      <c r="GY32" s="123"/>
      <c r="GZ32" s="123"/>
      <c r="HA32" s="123"/>
      <c r="HB32" s="123"/>
      <c r="HC32" s="123"/>
      <c r="HD32" s="123"/>
      <c r="HE32" s="123"/>
      <c r="HF32" s="123"/>
      <c r="HG32" s="123"/>
      <c r="HH32" s="123"/>
      <c r="HI32" s="123"/>
      <c r="HJ32" s="123"/>
      <c r="HK32" s="123"/>
      <c r="HL32" s="123"/>
      <c r="HM32" s="123"/>
      <c r="HN32" s="123"/>
      <c r="HO32" s="123"/>
      <c r="HP32" s="123"/>
      <c r="HQ32" s="123"/>
      <c r="HR32" s="123"/>
      <c r="HS32" s="123"/>
      <c r="HT32" s="123"/>
      <c r="HU32" s="123"/>
      <c r="HV32" s="123"/>
      <c r="HW32" s="123"/>
      <c r="HX32" s="123"/>
      <c r="HY32" s="123"/>
      <c r="HZ32" s="123"/>
      <c r="IA32" s="123"/>
      <c r="IB32" s="123"/>
      <c r="IC32" s="123"/>
      <c r="ID32" s="123"/>
      <c r="IE32" s="123"/>
      <c r="IF32" s="123"/>
      <c r="IG32" s="123"/>
      <c r="IH32" s="123"/>
      <c r="II32" s="123"/>
      <c r="IJ32" s="123"/>
      <c r="IK32" s="123"/>
      <c r="IL32" s="123"/>
      <c r="IM32" s="123"/>
      <c r="IN32" s="123"/>
      <c r="IO32" s="123"/>
      <c r="IP32" s="123"/>
      <c r="IQ32" s="123"/>
      <c r="IR32" s="123"/>
      <c r="IS32" s="123"/>
      <c r="IT32" s="123"/>
      <c r="IU32" s="123"/>
      <c r="IV32" s="123"/>
      <c r="IW32" s="123"/>
      <c r="IX32" s="123"/>
      <c r="IY32" s="123"/>
      <c r="IZ32" s="123"/>
      <c r="JA32" s="123"/>
      <c r="JB32" s="123"/>
      <c r="JC32" s="123"/>
      <c r="JD32" s="123"/>
      <c r="JE32" s="123"/>
      <c r="JF32" s="123"/>
      <c r="JG32" s="123"/>
      <c r="JH32" s="123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123"/>
      <c r="LK32" s="123"/>
      <c r="LL32" s="123"/>
      <c r="LM32" s="123"/>
      <c r="LN32" s="123"/>
      <c r="LO32" s="123"/>
      <c r="LP32" s="123"/>
      <c r="LQ32" s="123"/>
      <c r="LR32" s="123"/>
      <c r="LS32" s="123"/>
      <c r="LT32" s="123"/>
      <c r="LU32" s="123"/>
      <c r="LV32" s="123"/>
      <c r="LW32" s="123"/>
      <c r="LX32" s="123"/>
      <c r="LY32" s="123"/>
      <c r="LZ32" s="123"/>
      <c r="MA32" s="123"/>
      <c r="MB32" s="123"/>
      <c r="MC32" s="123"/>
      <c r="MD32" s="123"/>
      <c r="ME32" s="123"/>
      <c r="MF32" s="123"/>
      <c r="MG32" s="123"/>
      <c r="MH32" s="123"/>
      <c r="MI32" s="123"/>
      <c r="MJ32" s="123"/>
      <c r="MK32" s="123"/>
      <c r="ML32" s="123"/>
      <c r="MM32" s="123"/>
      <c r="MN32" s="123"/>
      <c r="MO32" s="123"/>
      <c r="MP32" s="123"/>
      <c r="MQ32" s="123"/>
      <c r="MR32" s="123"/>
      <c r="MS32" s="123"/>
      <c r="MT32" s="123"/>
      <c r="MU32" s="123"/>
      <c r="MV32" s="123"/>
      <c r="MW32" s="123"/>
      <c r="MX32" s="123"/>
      <c r="MY32" s="123"/>
      <c r="MZ32" s="123"/>
      <c r="NA32" s="123"/>
      <c r="NB32" s="123"/>
      <c r="NC32" s="123"/>
      <c r="ND32" s="123"/>
      <c r="NE32" s="123"/>
      <c r="NF32" s="123"/>
      <c r="NI32" s="24"/>
      <c r="NJ32" s="24"/>
      <c r="NK32" s="24"/>
      <c r="NL32" s="24"/>
      <c r="NN32" s="24"/>
      <c r="NO32" s="24"/>
      <c r="NP32" s="24"/>
    </row>
    <row r="33" spans="2:380" ht="15.75" x14ac:dyDescent="0.25">
      <c r="B33" s="14">
        <v>427</v>
      </c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123"/>
      <c r="CH33" s="123"/>
      <c r="CI33" s="123"/>
      <c r="CJ33" s="123"/>
      <c r="CK33" s="123"/>
      <c r="CL33" s="123"/>
      <c r="CM33" s="123"/>
      <c r="CN33" s="123"/>
      <c r="CO33" s="123"/>
      <c r="CP33" s="123"/>
      <c r="CQ33" s="123"/>
      <c r="CR33" s="123"/>
      <c r="CS33" s="123"/>
      <c r="CT33" s="123"/>
      <c r="CU33" s="123"/>
      <c r="CV33" s="123"/>
      <c r="CW33" s="123"/>
      <c r="CX33" s="123"/>
      <c r="CY33" s="123"/>
      <c r="CZ33" s="123"/>
      <c r="DA33" s="123"/>
      <c r="DB33" s="123"/>
      <c r="DC33" s="123"/>
      <c r="DD33" s="123"/>
      <c r="DE33" s="123"/>
      <c r="DF33" s="123"/>
      <c r="DG33" s="123"/>
      <c r="DH33" s="123"/>
      <c r="DI33" s="123"/>
      <c r="DJ33" s="123"/>
      <c r="DK33" s="123"/>
      <c r="DL33" s="123"/>
      <c r="DM33" s="123"/>
      <c r="DN33" s="123"/>
      <c r="DO33" s="123"/>
      <c r="DP33" s="123"/>
      <c r="DQ33" s="123"/>
      <c r="DR33" s="123"/>
      <c r="DS33" s="123"/>
      <c r="DT33" s="123"/>
      <c r="DU33" s="123"/>
      <c r="DV33" s="123"/>
      <c r="DW33" s="123"/>
      <c r="DX33" s="123"/>
      <c r="DY33" s="123"/>
      <c r="DZ33" s="123"/>
      <c r="EA33" s="123"/>
      <c r="EB33" s="123"/>
      <c r="EC33" s="123"/>
      <c r="ED33" s="123"/>
      <c r="EE33" s="123"/>
      <c r="EF33" s="123"/>
      <c r="EG33" s="123"/>
      <c r="EH33" s="123"/>
      <c r="EI33" s="123"/>
      <c r="EJ33" s="123"/>
      <c r="EK33" s="123"/>
      <c r="EL33" s="123"/>
      <c r="EM33" s="123"/>
      <c r="EN33" s="123"/>
      <c r="EO33" s="123"/>
      <c r="EP33" s="123"/>
      <c r="EQ33" s="123"/>
      <c r="ER33" s="123"/>
      <c r="ES33" s="123"/>
      <c r="ET33" s="123"/>
      <c r="EU33" s="123"/>
      <c r="EV33" s="123"/>
      <c r="EW33" s="123"/>
      <c r="EX33" s="123"/>
      <c r="EY33" s="123"/>
      <c r="EZ33" s="123"/>
      <c r="FA33" s="123"/>
      <c r="FB33" s="123"/>
      <c r="FC33" s="123"/>
      <c r="FD33" s="123"/>
      <c r="FE33" s="123"/>
      <c r="FF33" s="123"/>
      <c r="FG33" s="123"/>
      <c r="FH33" s="123"/>
      <c r="FI33" s="123"/>
      <c r="FJ33" s="123"/>
      <c r="FK33" s="123"/>
      <c r="FL33" s="123"/>
      <c r="FM33" s="123"/>
      <c r="FN33" s="123"/>
      <c r="FO33" s="123"/>
      <c r="FP33" s="123"/>
      <c r="FQ33" s="123"/>
      <c r="FR33" s="123"/>
      <c r="FS33" s="123"/>
      <c r="FT33" s="123"/>
      <c r="FU33" s="123"/>
      <c r="FV33" s="123"/>
      <c r="FW33" s="123"/>
      <c r="FX33" s="123"/>
      <c r="FY33" s="123"/>
      <c r="FZ33" s="123"/>
      <c r="GA33" s="123"/>
      <c r="GB33" s="123"/>
      <c r="GC33" s="123"/>
      <c r="GD33" s="123"/>
      <c r="GE33" s="123"/>
      <c r="GF33" s="123"/>
      <c r="GG33" s="123"/>
      <c r="GH33" s="123"/>
      <c r="GI33" s="123"/>
      <c r="GJ33" s="123"/>
      <c r="GK33" s="123"/>
      <c r="GL33" s="123"/>
      <c r="GM33" s="123"/>
      <c r="GN33" s="123"/>
      <c r="GO33" s="123"/>
      <c r="GP33" s="123"/>
      <c r="GQ33" s="123"/>
      <c r="GR33" s="123"/>
      <c r="GS33" s="123"/>
      <c r="GT33" s="123"/>
      <c r="GU33" s="123"/>
      <c r="GV33" s="123"/>
      <c r="GW33" s="123"/>
      <c r="GX33" s="123"/>
      <c r="GY33" s="123"/>
      <c r="GZ33" s="123"/>
      <c r="HA33" s="123"/>
      <c r="HB33" s="123"/>
      <c r="HC33" s="123"/>
      <c r="HD33" s="123"/>
      <c r="HE33" s="123"/>
      <c r="HF33" s="123"/>
      <c r="HG33" s="123"/>
      <c r="HH33" s="123"/>
      <c r="HI33" s="123"/>
      <c r="HJ33" s="123"/>
      <c r="HK33" s="123"/>
      <c r="HL33" s="123"/>
      <c r="HM33" s="123"/>
      <c r="HN33" s="123"/>
      <c r="HO33" s="123"/>
      <c r="HP33" s="123"/>
      <c r="HQ33" s="123"/>
      <c r="HR33" s="123"/>
      <c r="HS33" s="123"/>
      <c r="HT33" s="123"/>
      <c r="HU33" s="123"/>
      <c r="HV33" s="123"/>
      <c r="HW33" s="123"/>
      <c r="HX33" s="123"/>
      <c r="HY33" s="123"/>
      <c r="HZ33" s="123"/>
      <c r="IA33" s="123"/>
      <c r="IB33" s="123"/>
      <c r="IC33" s="123"/>
      <c r="ID33" s="123"/>
      <c r="IE33" s="123"/>
      <c r="IF33" s="123"/>
      <c r="IG33" s="123"/>
      <c r="IH33" s="123"/>
      <c r="II33" s="123"/>
      <c r="IJ33" s="123"/>
      <c r="IK33" s="123"/>
      <c r="IL33" s="123"/>
      <c r="IM33" s="123"/>
      <c r="IN33" s="123"/>
      <c r="IO33" s="123"/>
      <c r="IP33" s="123"/>
      <c r="IQ33" s="123"/>
      <c r="IR33" s="123"/>
      <c r="IS33" s="123"/>
      <c r="IT33" s="123"/>
      <c r="IU33" s="123"/>
      <c r="IV33" s="123"/>
      <c r="IW33" s="123"/>
      <c r="IX33" s="123"/>
      <c r="IY33" s="123"/>
      <c r="IZ33" s="123"/>
      <c r="JA33" s="123"/>
      <c r="JB33" s="123"/>
      <c r="JC33" s="123"/>
      <c r="JD33" s="123"/>
      <c r="JE33" s="123"/>
      <c r="JF33" s="123"/>
      <c r="JG33" s="123"/>
      <c r="JH33" s="123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123"/>
      <c r="LK33" s="123"/>
      <c r="LL33" s="123"/>
      <c r="LM33" s="123"/>
      <c r="LN33" s="123"/>
      <c r="LO33" s="123"/>
      <c r="LP33" s="123"/>
      <c r="LQ33" s="123"/>
      <c r="LR33" s="123"/>
      <c r="LS33" s="123"/>
      <c r="LT33" s="123"/>
      <c r="LU33" s="123"/>
      <c r="LV33" s="123"/>
      <c r="LW33" s="123"/>
      <c r="LX33" s="123"/>
      <c r="LY33" s="123"/>
      <c r="LZ33" s="123"/>
      <c r="MA33" s="123"/>
      <c r="MB33" s="123"/>
      <c r="MC33" s="123"/>
      <c r="MD33" s="123"/>
      <c r="ME33" s="123"/>
      <c r="MF33" s="123"/>
      <c r="MG33" s="123"/>
      <c r="MH33" s="123"/>
      <c r="MI33" s="123"/>
      <c r="MJ33" s="123"/>
      <c r="MK33" s="123"/>
      <c r="ML33" s="123"/>
      <c r="MM33" s="123"/>
      <c r="MN33" s="123"/>
      <c r="MO33" s="123"/>
      <c r="MP33" s="123"/>
      <c r="MQ33" s="123"/>
      <c r="MR33" s="123"/>
      <c r="MS33" s="123"/>
      <c r="MT33" s="123"/>
      <c r="MU33" s="123"/>
      <c r="MV33" s="123"/>
      <c r="MW33" s="123"/>
      <c r="MX33" s="123"/>
      <c r="MY33" s="123"/>
      <c r="MZ33" s="123"/>
      <c r="NA33" s="123"/>
      <c r="NB33" s="123"/>
      <c r="NC33" s="123"/>
      <c r="ND33" s="123"/>
      <c r="NE33" s="123"/>
      <c r="NF33" s="123"/>
      <c r="NJ33" s="24"/>
      <c r="NK33" s="24"/>
      <c r="NL33" s="24"/>
      <c r="NM33" s="24"/>
      <c r="NN33" s="24"/>
      <c r="NO33" s="24"/>
    </row>
    <row r="34" spans="2:380" ht="15.75" x14ac:dyDescent="0.25">
      <c r="B34" s="21">
        <v>428</v>
      </c>
      <c r="C34" s="123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123"/>
      <c r="LK34" s="123"/>
      <c r="LL34" s="123"/>
      <c r="LM34" s="123"/>
      <c r="LN34" s="123"/>
      <c r="LO34" s="123"/>
      <c r="LP34" s="123"/>
      <c r="LQ34" s="123"/>
      <c r="LR34" s="123"/>
      <c r="LS34" s="123"/>
      <c r="LT34" s="123"/>
      <c r="LU34" s="123"/>
      <c r="LV34" s="123"/>
      <c r="LW34" s="123"/>
      <c r="LX34" s="123"/>
      <c r="LY34" s="123"/>
      <c r="LZ34" s="123"/>
      <c r="MA34" s="123"/>
      <c r="MB34" s="123"/>
      <c r="MC34" s="123"/>
      <c r="MD34" s="123"/>
      <c r="ME34" s="123"/>
      <c r="MF34" s="123"/>
      <c r="MG34" s="123"/>
      <c r="MH34" s="123"/>
      <c r="MI34" s="123"/>
      <c r="MJ34" s="123"/>
      <c r="MK34" s="123"/>
      <c r="ML34" s="123"/>
      <c r="MM34" s="123"/>
      <c r="MN34" s="123"/>
      <c r="MO34" s="123"/>
      <c r="MP34" s="123"/>
      <c r="MQ34" s="123"/>
      <c r="MR34" s="123"/>
      <c r="MS34" s="123"/>
      <c r="MT34" s="123"/>
      <c r="MU34" s="123"/>
      <c r="MV34" s="123"/>
      <c r="MW34" s="123"/>
      <c r="MX34" s="123"/>
      <c r="MY34" s="123"/>
      <c r="MZ34" s="123"/>
      <c r="NA34" s="123"/>
      <c r="NB34" s="123"/>
      <c r="NC34" s="123"/>
      <c r="ND34" s="123"/>
      <c r="NE34" s="123"/>
      <c r="NF34" s="123"/>
      <c r="NI34" s="24"/>
      <c r="NJ34" s="24"/>
      <c r="NL34" s="24"/>
      <c r="NM34" s="24"/>
      <c r="NN34" s="24"/>
      <c r="NO34" s="24"/>
      <c r="NP34" s="24"/>
    </row>
    <row r="35" spans="2:380" ht="15.75" x14ac:dyDescent="0.25">
      <c r="B35" s="14">
        <v>429</v>
      </c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123"/>
      <c r="DS35" s="123"/>
      <c r="DT35" s="123"/>
      <c r="DU35" s="123"/>
      <c r="DV35" s="123"/>
      <c r="DW35" s="123"/>
      <c r="DX35" s="123"/>
      <c r="DY35" s="123"/>
      <c r="DZ35" s="123"/>
      <c r="EA35" s="123"/>
      <c r="EB35" s="123"/>
      <c r="EC35" s="123"/>
      <c r="ED35" s="123"/>
      <c r="EE35" s="123"/>
      <c r="EF35" s="123"/>
      <c r="EG35" s="123"/>
      <c r="EH35" s="123"/>
      <c r="EI35" s="123"/>
      <c r="EJ35" s="123"/>
      <c r="EK35" s="123"/>
      <c r="EL35" s="123"/>
      <c r="EM35" s="123"/>
      <c r="EN35" s="123"/>
      <c r="EO35" s="123"/>
      <c r="EP35" s="123"/>
      <c r="EQ35" s="123"/>
      <c r="ER35" s="123"/>
      <c r="ES35" s="123"/>
      <c r="ET35" s="123"/>
      <c r="EU35" s="123"/>
      <c r="EV35" s="123"/>
      <c r="EW35" s="123"/>
      <c r="EX35" s="123"/>
      <c r="EY35" s="123"/>
      <c r="EZ35" s="123"/>
      <c r="FA35" s="123"/>
      <c r="FB35" s="123"/>
      <c r="FC35" s="123"/>
      <c r="FD35" s="123"/>
      <c r="FE35" s="123"/>
      <c r="FF35" s="123"/>
      <c r="FG35" s="123"/>
      <c r="FH35" s="123"/>
      <c r="FI35" s="123"/>
      <c r="FJ35" s="123"/>
      <c r="FK35" s="123"/>
      <c r="FL35" s="123"/>
      <c r="FM35" s="123"/>
      <c r="FN35" s="123"/>
      <c r="FO35" s="123"/>
      <c r="FP35" s="123"/>
      <c r="FQ35" s="123"/>
      <c r="FR35" s="123"/>
      <c r="FS35" s="123"/>
      <c r="FT35" s="123"/>
      <c r="FU35" s="123"/>
      <c r="FV35" s="123"/>
      <c r="FW35" s="123"/>
      <c r="FX35" s="123"/>
      <c r="FY35" s="123"/>
      <c r="FZ35" s="123"/>
      <c r="GA35" s="123"/>
      <c r="GB35" s="123"/>
      <c r="GC35" s="123"/>
      <c r="GD35" s="123"/>
      <c r="GE35" s="123"/>
      <c r="GF35" s="123"/>
      <c r="GG35" s="123"/>
      <c r="GH35" s="123"/>
      <c r="GI35" s="123"/>
      <c r="GJ35" s="123"/>
      <c r="GK35" s="123"/>
      <c r="GL35" s="123"/>
      <c r="GM35" s="123"/>
      <c r="GN35" s="123"/>
      <c r="GO35" s="123"/>
      <c r="GP35" s="123"/>
      <c r="GQ35" s="123"/>
      <c r="GR35" s="123"/>
      <c r="GS35" s="123"/>
      <c r="GT35" s="123"/>
      <c r="GU35" s="123"/>
      <c r="GV35" s="123"/>
      <c r="GW35" s="123"/>
      <c r="GX35" s="123"/>
      <c r="GY35" s="123"/>
      <c r="GZ35" s="123"/>
      <c r="HA35" s="123"/>
      <c r="HB35" s="123"/>
      <c r="HC35" s="123"/>
      <c r="HD35" s="123"/>
      <c r="HE35" s="123"/>
      <c r="HF35" s="123"/>
      <c r="HG35" s="123"/>
      <c r="HH35" s="123"/>
      <c r="HI35" s="123"/>
      <c r="HJ35" s="123"/>
      <c r="HK35" s="123"/>
      <c r="HL35" s="123"/>
      <c r="HM35" s="123"/>
      <c r="HN35" s="123"/>
      <c r="HO35" s="123"/>
      <c r="HP35" s="123"/>
      <c r="HQ35" s="123"/>
      <c r="HR35" s="123"/>
      <c r="HS35" s="123"/>
      <c r="HT35" s="123"/>
      <c r="HU35" s="123"/>
      <c r="HV35" s="123"/>
      <c r="HW35" s="123"/>
      <c r="HX35" s="123"/>
      <c r="HY35" s="123"/>
      <c r="HZ35" s="123"/>
      <c r="IA35" s="123"/>
      <c r="IB35" s="123"/>
      <c r="IC35" s="123"/>
      <c r="ID35" s="123"/>
      <c r="IE35" s="123"/>
      <c r="IF35" s="123"/>
      <c r="IG35" s="123"/>
      <c r="IH35" s="123"/>
      <c r="II35" s="123"/>
      <c r="IJ35" s="123"/>
      <c r="IK35" s="123"/>
      <c r="IL35" s="123"/>
      <c r="IM35" s="123"/>
      <c r="IN35" s="123"/>
      <c r="IO35" s="123"/>
      <c r="IP35" s="123"/>
      <c r="IQ35" s="123"/>
      <c r="IR35" s="123"/>
      <c r="IS35" s="123"/>
      <c r="IT35" s="123"/>
      <c r="IU35" s="123"/>
      <c r="IV35" s="123"/>
      <c r="IW35" s="123"/>
      <c r="IX35" s="123"/>
      <c r="IY35" s="123"/>
      <c r="IZ35" s="123"/>
      <c r="JA35" s="123"/>
      <c r="JB35" s="123"/>
      <c r="JC35" s="123"/>
      <c r="JD35" s="123"/>
      <c r="JE35" s="123"/>
      <c r="JF35" s="123"/>
      <c r="JG35" s="123"/>
      <c r="JH35" s="123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123"/>
      <c r="LK35" s="123"/>
      <c r="LL35" s="123"/>
      <c r="LM35" s="123"/>
      <c r="LN35" s="123"/>
      <c r="LO35" s="123"/>
      <c r="LP35" s="123"/>
      <c r="LQ35" s="123"/>
      <c r="LR35" s="123"/>
      <c r="LS35" s="123"/>
      <c r="LT35" s="123"/>
      <c r="LU35" s="123"/>
      <c r="LV35" s="123"/>
      <c r="LW35" s="123"/>
      <c r="LX35" s="123"/>
      <c r="LY35" s="123"/>
      <c r="LZ35" s="123"/>
      <c r="MA35" s="123"/>
      <c r="MB35" s="123"/>
      <c r="MC35" s="123"/>
      <c r="MD35" s="123"/>
      <c r="ME35" s="123"/>
      <c r="MF35" s="123"/>
      <c r="MG35" s="123"/>
      <c r="MH35" s="123"/>
      <c r="MI35" s="123"/>
      <c r="MJ35" s="123"/>
      <c r="MK35" s="123"/>
      <c r="ML35" s="123"/>
      <c r="MM35" s="123"/>
      <c r="MN35" s="123"/>
      <c r="MO35" s="123"/>
      <c r="MP35" s="123"/>
      <c r="MQ35" s="123"/>
      <c r="MR35" s="123"/>
      <c r="MS35" s="123"/>
      <c r="MT35" s="123"/>
      <c r="MU35" s="123"/>
      <c r="MV35" s="123"/>
      <c r="MW35" s="123"/>
      <c r="MX35" s="123"/>
      <c r="MY35" s="123"/>
      <c r="MZ35" s="123"/>
      <c r="NA35" s="123"/>
      <c r="NB35" s="123"/>
      <c r="NC35" s="123"/>
      <c r="ND35" s="123"/>
      <c r="NE35" s="123"/>
      <c r="NF35" s="123"/>
      <c r="NI35" s="24"/>
      <c r="NJ35" s="24"/>
      <c r="NL35" s="24"/>
      <c r="NM35" s="24"/>
      <c r="NP35" s="24"/>
    </row>
    <row r="36" spans="2:380" ht="15.75" x14ac:dyDescent="0.25">
      <c r="B36" s="21">
        <v>430</v>
      </c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3"/>
      <c r="DT36" s="123"/>
      <c r="DU36" s="123"/>
      <c r="DV36" s="123"/>
      <c r="DW36" s="123"/>
      <c r="DX36" s="123"/>
      <c r="DY36" s="123"/>
      <c r="DZ36" s="123"/>
      <c r="EA36" s="123"/>
      <c r="EB36" s="123"/>
      <c r="EC36" s="123"/>
      <c r="ED36" s="123"/>
      <c r="EE36" s="123"/>
      <c r="EF36" s="123"/>
      <c r="EG36" s="123"/>
      <c r="EH36" s="123"/>
      <c r="EI36" s="123"/>
      <c r="EJ36" s="123"/>
      <c r="EK36" s="123"/>
      <c r="EL36" s="123"/>
      <c r="EM36" s="123"/>
      <c r="EN36" s="123"/>
      <c r="EO36" s="123"/>
      <c r="EP36" s="123"/>
      <c r="EQ36" s="123"/>
      <c r="ER36" s="123"/>
      <c r="ES36" s="123"/>
      <c r="ET36" s="123"/>
      <c r="EU36" s="123"/>
      <c r="EV36" s="123"/>
      <c r="EW36" s="123"/>
      <c r="EX36" s="123"/>
      <c r="EY36" s="123"/>
      <c r="EZ36" s="123"/>
      <c r="FA36" s="123"/>
      <c r="FB36" s="123"/>
      <c r="FC36" s="123"/>
      <c r="FD36" s="123"/>
      <c r="FE36" s="123"/>
      <c r="FF36" s="123"/>
      <c r="FG36" s="123"/>
      <c r="FH36" s="123"/>
      <c r="FI36" s="123"/>
      <c r="FJ36" s="123"/>
      <c r="FK36" s="123"/>
      <c r="FL36" s="123"/>
      <c r="FM36" s="123"/>
      <c r="FN36" s="123"/>
      <c r="FO36" s="123"/>
      <c r="FP36" s="123"/>
      <c r="FQ36" s="123"/>
      <c r="FR36" s="123"/>
      <c r="FS36" s="123"/>
      <c r="FT36" s="123"/>
      <c r="FU36" s="123"/>
      <c r="FV36" s="123"/>
      <c r="FW36" s="123"/>
      <c r="FX36" s="123"/>
      <c r="FY36" s="123"/>
      <c r="FZ36" s="123"/>
      <c r="GA36" s="123"/>
      <c r="GB36" s="123"/>
      <c r="GC36" s="123"/>
      <c r="GD36" s="123"/>
      <c r="GE36" s="123"/>
      <c r="GF36" s="123"/>
      <c r="GG36" s="123"/>
      <c r="GH36" s="123"/>
      <c r="GI36" s="123"/>
      <c r="GJ36" s="123"/>
      <c r="GK36" s="123"/>
      <c r="GL36" s="123"/>
      <c r="GM36" s="123"/>
      <c r="GN36" s="123"/>
      <c r="GO36" s="123"/>
      <c r="GP36" s="123"/>
      <c r="GQ36" s="123"/>
      <c r="GR36" s="123"/>
      <c r="GS36" s="123"/>
      <c r="GT36" s="123"/>
      <c r="GU36" s="123"/>
      <c r="GV36" s="123"/>
      <c r="GW36" s="123"/>
      <c r="GX36" s="123"/>
      <c r="GY36" s="123"/>
      <c r="GZ36" s="123"/>
      <c r="HA36" s="123"/>
      <c r="HB36" s="123"/>
      <c r="HC36" s="123"/>
      <c r="HD36" s="123"/>
      <c r="HE36" s="123"/>
      <c r="HF36" s="123"/>
      <c r="HG36" s="123"/>
      <c r="HH36" s="123"/>
      <c r="HI36" s="123"/>
      <c r="HJ36" s="123"/>
      <c r="HK36" s="123"/>
      <c r="HL36" s="123"/>
      <c r="HM36" s="123"/>
      <c r="HN36" s="123"/>
      <c r="HO36" s="123"/>
      <c r="HP36" s="123"/>
      <c r="HQ36" s="123"/>
      <c r="HR36" s="123"/>
      <c r="HS36" s="123"/>
      <c r="HT36" s="123"/>
      <c r="HU36" s="123"/>
      <c r="HV36" s="123"/>
      <c r="HW36" s="123"/>
      <c r="HX36" s="123"/>
      <c r="HY36" s="123"/>
      <c r="HZ36" s="123"/>
      <c r="IA36" s="123"/>
      <c r="IB36" s="123"/>
      <c r="IC36" s="123"/>
      <c r="ID36" s="123"/>
      <c r="IE36" s="123"/>
      <c r="IF36" s="123"/>
      <c r="IG36" s="123"/>
      <c r="IH36" s="123"/>
      <c r="II36" s="123"/>
      <c r="IJ36" s="123"/>
      <c r="IK36" s="123"/>
      <c r="IL36" s="123"/>
      <c r="IM36" s="123"/>
      <c r="IN36" s="123"/>
      <c r="IO36" s="123"/>
      <c r="IP36" s="123"/>
      <c r="IQ36" s="123"/>
      <c r="IR36" s="123"/>
      <c r="IS36" s="123"/>
      <c r="IT36" s="123"/>
      <c r="IU36" s="123"/>
      <c r="IV36" s="123"/>
      <c r="IW36" s="123"/>
      <c r="IX36" s="123"/>
      <c r="IY36" s="123"/>
      <c r="IZ36" s="123"/>
      <c r="JA36" s="123"/>
      <c r="JB36" s="123"/>
      <c r="JC36" s="123"/>
      <c r="JD36" s="123"/>
      <c r="JE36" s="123"/>
      <c r="JF36" s="123"/>
      <c r="JG36" s="123"/>
      <c r="JH36" s="123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123"/>
      <c r="LK36" s="123"/>
      <c r="LL36" s="123"/>
      <c r="LM36" s="123"/>
      <c r="LN36" s="123"/>
      <c r="LO36" s="123"/>
      <c r="LP36" s="123"/>
      <c r="LQ36" s="123"/>
      <c r="LR36" s="123"/>
      <c r="LS36" s="123"/>
      <c r="LT36" s="123"/>
      <c r="LU36" s="123"/>
      <c r="LV36" s="123"/>
      <c r="LW36" s="123"/>
      <c r="LX36" s="123"/>
      <c r="LY36" s="123"/>
      <c r="LZ36" s="123"/>
      <c r="MA36" s="123"/>
      <c r="MB36" s="123"/>
      <c r="MC36" s="123"/>
      <c r="MD36" s="123"/>
      <c r="ME36" s="123"/>
      <c r="MF36" s="123"/>
      <c r="MG36" s="123"/>
      <c r="MH36" s="123"/>
      <c r="MI36" s="123"/>
      <c r="MJ36" s="123"/>
      <c r="MK36" s="123"/>
      <c r="ML36" s="123"/>
      <c r="MM36" s="123"/>
      <c r="MN36" s="123"/>
      <c r="MO36" s="123"/>
      <c r="MP36" s="123"/>
      <c r="MQ36" s="123"/>
      <c r="MR36" s="123"/>
      <c r="MS36" s="123"/>
      <c r="MT36" s="123"/>
      <c r="MU36" s="123"/>
      <c r="MV36" s="123"/>
      <c r="MW36" s="123"/>
      <c r="MX36" s="123"/>
      <c r="MY36" s="123"/>
      <c r="MZ36" s="123"/>
      <c r="NA36" s="123"/>
      <c r="NB36" s="123"/>
      <c r="NC36" s="123"/>
      <c r="ND36" s="123"/>
      <c r="NE36" s="123"/>
      <c r="NF36" s="123"/>
      <c r="NI36" s="24"/>
      <c r="NL36" s="24"/>
      <c r="NP36" s="24"/>
    </row>
    <row r="37" spans="2:380" ht="15.75" x14ac:dyDescent="0.25">
      <c r="B37" s="14">
        <v>431</v>
      </c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/>
      <c r="DC37" s="123"/>
      <c r="DD37" s="123"/>
      <c r="DE37" s="123"/>
      <c r="DF37" s="123"/>
      <c r="DG37" s="123"/>
      <c r="DH37" s="123"/>
      <c r="DI37" s="123"/>
      <c r="DJ37" s="123"/>
      <c r="DK37" s="123"/>
      <c r="DL37" s="123"/>
      <c r="DM37" s="123"/>
      <c r="DN37" s="123"/>
      <c r="DO37" s="123"/>
      <c r="DP37" s="123"/>
      <c r="DQ37" s="123"/>
      <c r="DR37" s="123"/>
      <c r="DS37" s="123"/>
      <c r="DT37" s="123"/>
      <c r="DU37" s="123"/>
      <c r="DV37" s="123"/>
      <c r="DW37" s="123"/>
      <c r="DX37" s="123"/>
      <c r="DY37" s="123"/>
      <c r="DZ37" s="123"/>
      <c r="EA37" s="123"/>
      <c r="EB37" s="123"/>
      <c r="EC37" s="123"/>
      <c r="ED37" s="123"/>
      <c r="EE37" s="123"/>
      <c r="EF37" s="123"/>
      <c r="EG37" s="123"/>
      <c r="EH37" s="123"/>
      <c r="EI37" s="123"/>
      <c r="EJ37" s="123"/>
      <c r="EK37" s="123"/>
      <c r="EL37" s="123"/>
      <c r="EM37" s="123"/>
      <c r="EN37" s="123"/>
      <c r="EO37" s="123"/>
      <c r="EP37" s="123"/>
      <c r="EQ37" s="123"/>
      <c r="ER37" s="123"/>
      <c r="ES37" s="123"/>
      <c r="ET37" s="123"/>
      <c r="EU37" s="123"/>
      <c r="EV37" s="123"/>
      <c r="EW37" s="123"/>
      <c r="EX37" s="123"/>
      <c r="EY37" s="123"/>
      <c r="EZ37" s="123"/>
      <c r="FA37" s="123"/>
      <c r="FB37" s="123"/>
      <c r="FC37" s="123"/>
      <c r="FD37" s="123"/>
      <c r="FE37" s="123"/>
      <c r="FF37" s="123"/>
      <c r="FG37" s="123"/>
      <c r="FH37" s="123"/>
      <c r="FI37" s="123"/>
      <c r="FJ37" s="123"/>
      <c r="FK37" s="123"/>
      <c r="FL37" s="123"/>
      <c r="FM37" s="123"/>
      <c r="FN37" s="123"/>
      <c r="FO37" s="123"/>
      <c r="FP37" s="123"/>
      <c r="FQ37" s="123"/>
      <c r="FR37" s="123"/>
      <c r="FS37" s="123"/>
      <c r="FT37" s="123"/>
      <c r="FU37" s="123"/>
      <c r="FV37" s="123"/>
      <c r="FW37" s="123"/>
      <c r="FX37" s="123"/>
      <c r="FY37" s="123"/>
      <c r="FZ37" s="123"/>
      <c r="GA37" s="123"/>
      <c r="GB37" s="123"/>
      <c r="GC37" s="123"/>
      <c r="GD37" s="123"/>
      <c r="GE37" s="123"/>
      <c r="GF37" s="123"/>
      <c r="GG37" s="123"/>
      <c r="GH37" s="123"/>
      <c r="GI37" s="123"/>
      <c r="GJ37" s="123"/>
      <c r="GK37" s="123"/>
      <c r="GL37" s="123"/>
      <c r="GM37" s="123"/>
      <c r="GN37" s="123"/>
      <c r="GO37" s="123"/>
      <c r="GP37" s="123"/>
      <c r="GQ37" s="123"/>
      <c r="GR37" s="123"/>
      <c r="GS37" s="123"/>
      <c r="GT37" s="123"/>
      <c r="GU37" s="123"/>
      <c r="GV37" s="123"/>
      <c r="GW37" s="123"/>
      <c r="GX37" s="123"/>
      <c r="GY37" s="123"/>
      <c r="GZ37" s="123"/>
      <c r="HA37" s="123"/>
      <c r="HB37" s="123"/>
      <c r="HC37" s="123"/>
      <c r="HD37" s="123"/>
      <c r="HE37" s="123"/>
      <c r="HF37" s="123"/>
      <c r="HG37" s="123"/>
      <c r="HH37" s="123"/>
      <c r="HI37" s="123"/>
      <c r="HJ37" s="123"/>
      <c r="HK37" s="123"/>
      <c r="HL37" s="123"/>
      <c r="HM37" s="123"/>
      <c r="HN37" s="123"/>
      <c r="HO37" s="123"/>
      <c r="HP37" s="123"/>
      <c r="HQ37" s="123"/>
      <c r="HR37" s="123"/>
      <c r="HS37" s="123"/>
      <c r="HT37" s="123"/>
      <c r="HU37" s="123"/>
      <c r="HV37" s="123"/>
      <c r="HW37" s="123"/>
      <c r="HX37" s="123"/>
      <c r="HY37" s="123"/>
      <c r="HZ37" s="123"/>
      <c r="IA37" s="123"/>
      <c r="IB37" s="123"/>
      <c r="IC37" s="123"/>
      <c r="ID37" s="123"/>
      <c r="IE37" s="123"/>
      <c r="IF37" s="123"/>
      <c r="IG37" s="123"/>
      <c r="IH37" s="123"/>
      <c r="II37" s="123"/>
      <c r="IJ37" s="123"/>
      <c r="IK37" s="123"/>
      <c r="IL37" s="123"/>
      <c r="IM37" s="123"/>
      <c r="IN37" s="123"/>
      <c r="IO37" s="123"/>
      <c r="IP37" s="123"/>
      <c r="IQ37" s="123"/>
      <c r="IR37" s="123"/>
      <c r="IS37" s="123"/>
      <c r="IT37" s="123"/>
      <c r="IU37" s="123"/>
      <c r="IV37" s="123"/>
      <c r="IW37" s="123"/>
      <c r="IX37" s="123"/>
      <c r="IY37" s="123"/>
      <c r="IZ37" s="123"/>
      <c r="JA37" s="123"/>
      <c r="JB37" s="123"/>
      <c r="JC37" s="123"/>
      <c r="JD37" s="123"/>
      <c r="JE37" s="123"/>
      <c r="JF37" s="123"/>
      <c r="JG37" s="123"/>
      <c r="JH37" s="123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123"/>
      <c r="LK37" s="123"/>
      <c r="LL37" s="123"/>
      <c r="LM37" s="123"/>
      <c r="LN37" s="123"/>
      <c r="LO37" s="123"/>
      <c r="LP37" s="123"/>
      <c r="LQ37" s="123"/>
      <c r="LR37" s="123"/>
      <c r="LS37" s="123"/>
      <c r="LT37" s="123"/>
      <c r="LU37" s="123"/>
      <c r="LV37" s="123"/>
      <c r="LW37" s="123"/>
      <c r="LX37" s="123"/>
      <c r="LY37" s="123"/>
      <c r="LZ37" s="123"/>
      <c r="MA37" s="123"/>
      <c r="MB37" s="123"/>
      <c r="MC37" s="123"/>
      <c r="MD37" s="123"/>
      <c r="ME37" s="123"/>
      <c r="MF37" s="123"/>
      <c r="MG37" s="123"/>
      <c r="MH37" s="123"/>
      <c r="MI37" s="123"/>
      <c r="MJ37" s="123"/>
      <c r="MK37" s="123"/>
      <c r="ML37" s="123"/>
      <c r="MM37" s="123"/>
      <c r="MN37" s="123"/>
      <c r="MO37" s="123"/>
      <c r="MP37" s="123"/>
      <c r="MQ37" s="123"/>
      <c r="MR37" s="123"/>
      <c r="MS37" s="123"/>
      <c r="MT37" s="123"/>
      <c r="MU37" s="123"/>
      <c r="MV37" s="123"/>
      <c r="MW37" s="123"/>
      <c r="MX37" s="123"/>
      <c r="MY37" s="123"/>
      <c r="MZ37" s="123"/>
      <c r="NA37" s="123"/>
      <c r="NB37" s="123"/>
      <c r="NC37" s="123"/>
      <c r="ND37" s="123"/>
      <c r="NE37" s="123"/>
      <c r="NF37" s="123"/>
      <c r="NI37" s="24"/>
      <c r="NJ37" s="24"/>
      <c r="NK37" s="24"/>
      <c r="NL37" s="24"/>
      <c r="NM37" s="24"/>
      <c r="NN37" s="24"/>
      <c r="NO37" s="24"/>
    </row>
    <row r="38" spans="2:380" ht="15.75" x14ac:dyDescent="0.25">
      <c r="B38" s="21">
        <v>432</v>
      </c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/>
      <c r="DC38" s="123"/>
      <c r="DD38" s="123"/>
      <c r="DE38" s="123"/>
      <c r="DF38" s="123"/>
      <c r="DG38" s="123"/>
      <c r="DH38" s="123"/>
      <c r="DI38" s="123"/>
      <c r="DJ38" s="123"/>
      <c r="DK38" s="123"/>
      <c r="DL38" s="123"/>
      <c r="DM38" s="123"/>
      <c r="DN38" s="123"/>
      <c r="DO38" s="123"/>
      <c r="DP38" s="123"/>
      <c r="DQ38" s="123"/>
      <c r="DR38" s="123"/>
      <c r="DS38" s="123"/>
      <c r="DT38" s="123"/>
      <c r="DU38" s="123"/>
      <c r="DV38" s="123"/>
      <c r="DW38" s="123"/>
      <c r="DX38" s="123"/>
      <c r="DY38" s="123"/>
      <c r="DZ38" s="123"/>
      <c r="EA38" s="123"/>
      <c r="EB38" s="123"/>
      <c r="EC38" s="123"/>
      <c r="ED38" s="123"/>
      <c r="EE38" s="123"/>
      <c r="EF38" s="123"/>
      <c r="EG38" s="123"/>
      <c r="EH38" s="123"/>
      <c r="EI38" s="123"/>
      <c r="EJ38" s="123"/>
      <c r="EK38" s="123"/>
      <c r="EL38" s="123"/>
      <c r="EM38" s="123"/>
      <c r="EN38" s="123"/>
      <c r="EO38" s="123"/>
      <c r="EP38" s="123"/>
      <c r="EQ38" s="123"/>
      <c r="ER38" s="123"/>
      <c r="ES38" s="123"/>
      <c r="ET38" s="123"/>
      <c r="EU38" s="123"/>
      <c r="EV38" s="123"/>
      <c r="EW38" s="123"/>
      <c r="EX38" s="123"/>
      <c r="EY38" s="123"/>
      <c r="EZ38" s="123"/>
      <c r="FA38" s="123"/>
      <c r="FB38" s="123"/>
      <c r="FC38" s="123"/>
      <c r="FD38" s="123"/>
      <c r="FE38" s="123"/>
      <c r="FF38" s="123"/>
      <c r="FG38" s="123"/>
      <c r="FH38" s="123"/>
      <c r="FI38" s="123"/>
      <c r="FJ38" s="123"/>
      <c r="FK38" s="123"/>
      <c r="FL38" s="123"/>
      <c r="FM38" s="123"/>
      <c r="FN38" s="123"/>
      <c r="FO38" s="123"/>
      <c r="FP38" s="123"/>
      <c r="FQ38" s="123"/>
      <c r="FR38" s="123"/>
      <c r="FS38" s="123"/>
      <c r="FT38" s="123"/>
      <c r="FU38" s="123"/>
      <c r="FV38" s="123"/>
      <c r="FW38" s="123"/>
      <c r="FX38" s="123"/>
      <c r="FY38" s="123"/>
      <c r="FZ38" s="123"/>
      <c r="GA38" s="123"/>
      <c r="GB38" s="123"/>
      <c r="GC38" s="123"/>
      <c r="GD38" s="123"/>
      <c r="GE38" s="123"/>
      <c r="GF38" s="123"/>
      <c r="GG38" s="123"/>
      <c r="GH38" s="123"/>
      <c r="GI38" s="123"/>
      <c r="GJ38" s="123"/>
      <c r="GK38" s="123"/>
      <c r="GL38" s="123"/>
      <c r="GM38" s="123"/>
      <c r="GN38" s="123"/>
      <c r="GO38" s="123"/>
      <c r="GP38" s="123"/>
      <c r="GQ38" s="123"/>
      <c r="GR38" s="123"/>
      <c r="GS38" s="123"/>
      <c r="GT38" s="123"/>
      <c r="GU38" s="123"/>
      <c r="GV38" s="123"/>
      <c r="GW38" s="123"/>
      <c r="GX38" s="123"/>
      <c r="GY38" s="123"/>
      <c r="GZ38" s="123"/>
      <c r="HA38" s="123"/>
      <c r="HB38" s="123"/>
      <c r="HC38" s="123"/>
      <c r="HD38" s="123"/>
      <c r="HE38" s="123"/>
      <c r="HF38" s="123"/>
      <c r="HG38" s="123"/>
      <c r="HH38" s="123"/>
      <c r="HI38" s="123"/>
      <c r="HJ38" s="123"/>
      <c r="HK38" s="123"/>
      <c r="HL38" s="123"/>
      <c r="HM38" s="123"/>
      <c r="HN38" s="123"/>
      <c r="HO38" s="123"/>
      <c r="HP38" s="123"/>
      <c r="HQ38" s="123"/>
      <c r="HR38" s="123"/>
      <c r="HS38" s="123"/>
      <c r="HT38" s="123"/>
      <c r="HU38" s="123"/>
      <c r="HV38" s="123"/>
      <c r="HW38" s="123"/>
      <c r="HX38" s="123"/>
      <c r="HY38" s="123"/>
      <c r="HZ38" s="123"/>
      <c r="IA38" s="123"/>
      <c r="IB38" s="123"/>
      <c r="IC38" s="123"/>
      <c r="ID38" s="123"/>
      <c r="IE38" s="123"/>
      <c r="IF38" s="123"/>
      <c r="IG38" s="123"/>
      <c r="IH38" s="123"/>
      <c r="II38" s="123"/>
      <c r="IJ38" s="123"/>
      <c r="IK38" s="123"/>
      <c r="IL38" s="123"/>
      <c r="IM38" s="123"/>
      <c r="IN38" s="123"/>
      <c r="IO38" s="123"/>
      <c r="IP38" s="123"/>
      <c r="IQ38" s="123"/>
      <c r="IR38" s="123"/>
      <c r="IS38" s="123"/>
      <c r="IT38" s="123"/>
      <c r="IU38" s="123"/>
      <c r="IV38" s="123"/>
      <c r="IW38" s="123"/>
      <c r="IX38" s="123"/>
      <c r="IY38" s="123"/>
      <c r="IZ38" s="123"/>
      <c r="JA38" s="123"/>
      <c r="JB38" s="123"/>
      <c r="JC38" s="123"/>
      <c r="JD38" s="123"/>
      <c r="JE38" s="123"/>
      <c r="JF38" s="123"/>
      <c r="JG38" s="123"/>
      <c r="JH38" s="123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123"/>
      <c r="LK38" s="123"/>
      <c r="LL38" s="123"/>
      <c r="LM38" s="123"/>
      <c r="LN38" s="123"/>
      <c r="LO38" s="123"/>
      <c r="LP38" s="123"/>
      <c r="LQ38" s="123"/>
      <c r="LR38" s="123"/>
      <c r="LS38" s="123"/>
      <c r="LT38" s="123"/>
      <c r="LU38" s="123"/>
      <c r="LV38" s="123"/>
      <c r="LW38" s="123"/>
      <c r="LX38" s="123"/>
      <c r="LY38" s="123"/>
      <c r="LZ38" s="123"/>
      <c r="MA38" s="123"/>
      <c r="MB38" s="123"/>
      <c r="MC38" s="123"/>
      <c r="MD38" s="123"/>
      <c r="ME38" s="123"/>
      <c r="MF38" s="123"/>
      <c r="MG38" s="123"/>
      <c r="MH38" s="123"/>
      <c r="MI38" s="123"/>
      <c r="MJ38" s="123"/>
      <c r="MK38" s="123"/>
      <c r="ML38" s="123"/>
      <c r="MM38" s="123"/>
      <c r="MN38" s="123"/>
      <c r="MO38" s="123"/>
      <c r="MP38" s="123"/>
      <c r="MQ38" s="123"/>
      <c r="MR38" s="123"/>
      <c r="MS38" s="123"/>
      <c r="MT38" s="123"/>
      <c r="MU38" s="123"/>
      <c r="MV38" s="123"/>
      <c r="MW38" s="123"/>
      <c r="MX38" s="123"/>
      <c r="MY38" s="123"/>
      <c r="MZ38" s="123"/>
      <c r="NA38" s="123"/>
      <c r="NB38" s="123"/>
      <c r="NC38" s="123"/>
      <c r="ND38" s="123"/>
      <c r="NE38" s="123"/>
      <c r="NF38" s="123"/>
      <c r="NI38" s="24"/>
      <c r="NJ38" s="24"/>
      <c r="NK38" s="24"/>
      <c r="NL38" s="24"/>
      <c r="NM38" s="24"/>
      <c r="NN38" s="24"/>
      <c r="NO38" s="24"/>
    </row>
    <row r="39" spans="2:380" ht="16.5" thickBot="1" x14ac:dyDescent="0.3">
      <c r="B39" s="16">
        <v>433</v>
      </c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4"/>
      <c r="BE39" s="124"/>
      <c r="BF39" s="124"/>
      <c r="BG39" s="124"/>
      <c r="BH39" s="124"/>
      <c r="BI39" s="124"/>
      <c r="BJ39" s="124"/>
      <c r="BK39" s="124"/>
      <c r="BL39" s="124"/>
      <c r="BM39" s="124"/>
      <c r="BN39" s="124"/>
      <c r="BO39" s="124"/>
      <c r="BP39" s="124"/>
      <c r="BQ39" s="124"/>
      <c r="BR39" s="124"/>
      <c r="BS39" s="124"/>
      <c r="BT39" s="124"/>
      <c r="BU39" s="124"/>
      <c r="BV39" s="124"/>
      <c r="BW39" s="124"/>
      <c r="BX39" s="124"/>
      <c r="BY39" s="124"/>
      <c r="BZ39" s="124"/>
      <c r="CA39" s="124"/>
      <c r="CB39" s="124"/>
      <c r="CC39" s="124"/>
      <c r="CD39" s="124"/>
      <c r="CE39" s="124"/>
      <c r="CF39" s="124"/>
      <c r="CG39" s="124"/>
      <c r="CH39" s="124"/>
      <c r="CI39" s="124"/>
      <c r="CJ39" s="124"/>
      <c r="CK39" s="124"/>
      <c r="CL39" s="124"/>
      <c r="CM39" s="124"/>
      <c r="CN39" s="124"/>
      <c r="CO39" s="124"/>
      <c r="CP39" s="124"/>
      <c r="CQ39" s="124"/>
      <c r="CR39" s="124"/>
      <c r="CS39" s="124"/>
      <c r="CT39" s="124"/>
      <c r="CU39" s="124"/>
      <c r="CV39" s="124"/>
      <c r="CW39" s="124"/>
      <c r="CX39" s="124"/>
      <c r="CY39" s="124"/>
      <c r="CZ39" s="124"/>
      <c r="DA39" s="124"/>
      <c r="DB39" s="124"/>
      <c r="DC39" s="124"/>
      <c r="DD39" s="124"/>
      <c r="DE39" s="124"/>
      <c r="DF39" s="124"/>
      <c r="DG39" s="124"/>
      <c r="DH39" s="124"/>
      <c r="DI39" s="124"/>
      <c r="DJ39" s="124"/>
      <c r="DK39" s="124"/>
      <c r="DL39" s="124"/>
      <c r="DM39" s="124"/>
      <c r="DN39" s="124"/>
      <c r="DO39" s="124"/>
      <c r="DP39" s="124"/>
      <c r="DQ39" s="124"/>
      <c r="DR39" s="124"/>
      <c r="DS39" s="124"/>
      <c r="DT39" s="124"/>
      <c r="DU39" s="124"/>
      <c r="DV39" s="124"/>
      <c r="DW39" s="124"/>
      <c r="DX39" s="124"/>
      <c r="DY39" s="124"/>
      <c r="DZ39" s="124"/>
      <c r="EA39" s="124"/>
      <c r="EB39" s="124"/>
      <c r="EC39" s="124"/>
      <c r="ED39" s="124"/>
      <c r="EE39" s="124"/>
      <c r="EF39" s="124"/>
      <c r="EG39" s="124"/>
      <c r="EH39" s="124"/>
      <c r="EI39" s="124"/>
      <c r="EJ39" s="124"/>
      <c r="EK39" s="124"/>
      <c r="EL39" s="124"/>
      <c r="EM39" s="124"/>
      <c r="EN39" s="124"/>
      <c r="EO39" s="124"/>
      <c r="EP39" s="124"/>
      <c r="EQ39" s="124"/>
      <c r="ER39" s="124"/>
      <c r="ES39" s="124"/>
      <c r="ET39" s="124"/>
      <c r="EU39" s="124"/>
      <c r="EV39" s="124"/>
      <c r="EW39" s="124"/>
      <c r="EX39" s="124"/>
      <c r="EY39" s="124"/>
      <c r="EZ39" s="124"/>
      <c r="FA39" s="124"/>
      <c r="FB39" s="124"/>
      <c r="FC39" s="124"/>
      <c r="FD39" s="124"/>
      <c r="FE39" s="124"/>
      <c r="FF39" s="124"/>
      <c r="FG39" s="124"/>
      <c r="FH39" s="124"/>
      <c r="FI39" s="124"/>
      <c r="FJ39" s="124"/>
      <c r="FK39" s="124"/>
      <c r="FL39" s="124"/>
      <c r="FM39" s="124"/>
      <c r="FN39" s="124"/>
      <c r="FO39" s="124"/>
      <c r="FP39" s="124"/>
      <c r="FQ39" s="124"/>
      <c r="FR39" s="124"/>
      <c r="FS39" s="124"/>
      <c r="FT39" s="124"/>
      <c r="FU39" s="124"/>
      <c r="FV39" s="124"/>
      <c r="FW39" s="124"/>
      <c r="FX39" s="124"/>
      <c r="FY39" s="124"/>
      <c r="FZ39" s="124"/>
      <c r="GA39" s="124"/>
      <c r="GB39" s="124"/>
      <c r="GC39" s="124"/>
      <c r="GD39" s="124"/>
      <c r="GE39" s="124"/>
      <c r="GF39" s="124"/>
      <c r="GG39" s="124"/>
      <c r="GH39" s="124"/>
      <c r="GI39" s="124"/>
      <c r="GJ39" s="124"/>
      <c r="GK39" s="124"/>
      <c r="GL39" s="124"/>
      <c r="GM39" s="124"/>
      <c r="GN39" s="124"/>
      <c r="GO39" s="124"/>
      <c r="GP39" s="124"/>
      <c r="GQ39" s="124"/>
      <c r="GR39" s="124"/>
      <c r="GS39" s="124"/>
      <c r="GT39" s="124"/>
      <c r="GU39" s="124"/>
      <c r="GV39" s="124"/>
      <c r="GW39" s="124"/>
      <c r="GX39" s="124"/>
      <c r="GY39" s="124"/>
      <c r="GZ39" s="124"/>
      <c r="HA39" s="124"/>
      <c r="HB39" s="124"/>
      <c r="HC39" s="124"/>
      <c r="HD39" s="124"/>
      <c r="HE39" s="124"/>
      <c r="HF39" s="124"/>
      <c r="HG39" s="124"/>
      <c r="HH39" s="124"/>
      <c r="HI39" s="124"/>
      <c r="HJ39" s="124"/>
      <c r="HK39" s="124"/>
      <c r="HL39" s="124"/>
      <c r="HM39" s="124"/>
      <c r="HN39" s="124"/>
      <c r="HO39" s="124"/>
      <c r="HP39" s="124"/>
      <c r="HQ39" s="124"/>
      <c r="HR39" s="124"/>
      <c r="HS39" s="124"/>
      <c r="HT39" s="124"/>
      <c r="HU39" s="124"/>
      <c r="HV39" s="124"/>
      <c r="HW39" s="124"/>
      <c r="HX39" s="124"/>
      <c r="HY39" s="124"/>
      <c r="HZ39" s="124"/>
      <c r="IA39" s="124"/>
      <c r="IB39" s="124"/>
      <c r="IC39" s="124"/>
      <c r="ID39" s="124"/>
      <c r="IE39" s="124"/>
      <c r="IF39" s="124"/>
      <c r="IG39" s="124"/>
      <c r="IH39" s="124"/>
      <c r="II39" s="124"/>
      <c r="IJ39" s="124"/>
      <c r="IK39" s="124"/>
      <c r="IL39" s="124"/>
      <c r="IM39" s="124"/>
      <c r="IN39" s="124"/>
      <c r="IO39" s="124"/>
      <c r="IP39" s="124"/>
      <c r="IQ39" s="124"/>
      <c r="IR39" s="124"/>
      <c r="IS39" s="124"/>
      <c r="IT39" s="124"/>
      <c r="IU39" s="124"/>
      <c r="IV39" s="124"/>
      <c r="IW39" s="124"/>
      <c r="IX39" s="124"/>
      <c r="IY39" s="124"/>
      <c r="IZ39" s="124"/>
      <c r="JA39" s="124"/>
      <c r="JB39" s="124"/>
      <c r="JC39" s="124"/>
      <c r="JD39" s="124"/>
      <c r="JE39" s="124"/>
      <c r="JF39" s="124"/>
      <c r="JG39" s="124"/>
      <c r="JH39" s="124"/>
      <c r="JI39" s="124"/>
      <c r="JJ39" s="124"/>
      <c r="JK39" s="124"/>
      <c r="JL39" s="124"/>
      <c r="JM39" s="124"/>
      <c r="JN39" s="124"/>
      <c r="JO39" s="124"/>
      <c r="JP39" s="124"/>
      <c r="JQ39" s="124"/>
      <c r="JR39" s="124"/>
      <c r="JS39" s="124"/>
      <c r="JT39" s="124"/>
      <c r="JU39" s="124"/>
      <c r="JV39" s="124"/>
      <c r="JW39" s="124"/>
      <c r="JX39" s="124"/>
      <c r="JY39" s="124"/>
      <c r="JZ39" s="124"/>
      <c r="KA39" s="124"/>
      <c r="KB39" s="124"/>
      <c r="KC39" s="124"/>
      <c r="KD39" s="124"/>
      <c r="KE39" s="124"/>
      <c r="KF39" s="124"/>
      <c r="KG39" s="124"/>
      <c r="KH39" s="124"/>
      <c r="KI39" s="124"/>
      <c r="KJ39" s="124"/>
      <c r="KK39" s="124"/>
      <c r="KL39" s="124"/>
      <c r="KM39" s="124"/>
      <c r="KN39" s="124"/>
      <c r="KO39" s="124"/>
      <c r="KP39" s="124"/>
      <c r="KQ39" s="124"/>
      <c r="KR39" s="124"/>
      <c r="KS39" s="124"/>
      <c r="KT39" s="124"/>
      <c r="KU39" s="124"/>
      <c r="KV39" s="124"/>
      <c r="KW39" s="124"/>
      <c r="KX39" s="124"/>
      <c r="KY39" s="124"/>
      <c r="KZ39" s="124"/>
      <c r="LA39" s="124"/>
      <c r="LB39" s="124"/>
      <c r="LC39" s="124"/>
      <c r="LD39" s="124"/>
      <c r="LE39" s="124"/>
      <c r="LF39" s="124"/>
      <c r="LG39" s="124"/>
      <c r="LH39" s="124"/>
      <c r="LI39" s="124"/>
      <c r="LJ39" s="124"/>
      <c r="LK39" s="124"/>
      <c r="LL39" s="124"/>
      <c r="LM39" s="124"/>
      <c r="LN39" s="124"/>
      <c r="LO39" s="124"/>
      <c r="LP39" s="124"/>
      <c r="LQ39" s="124"/>
      <c r="LR39" s="124"/>
      <c r="LS39" s="124"/>
      <c r="LT39" s="124"/>
      <c r="LU39" s="124"/>
      <c r="LV39" s="124"/>
      <c r="LW39" s="124"/>
      <c r="LX39" s="124"/>
      <c r="LY39" s="124"/>
      <c r="LZ39" s="124"/>
      <c r="MA39" s="124"/>
      <c r="MB39" s="124"/>
      <c r="MC39" s="124"/>
      <c r="MD39" s="124"/>
      <c r="ME39" s="124"/>
      <c r="MF39" s="124"/>
      <c r="MG39" s="124"/>
      <c r="MH39" s="124"/>
      <c r="MI39" s="124"/>
      <c r="MJ39" s="124"/>
      <c r="MK39" s="124"/>
      <c r="ML39" s="124"/>
      <c r="MM39" s="124"/>
      <c r="MN39" s="124"/>
      <c r="MO39" s="124"/>
      <c r="MP39" s="124"/>
      <c r="MQ39" s="124"/>
      <c r="MR39" s="124"/>
      <c r="MS39" s="124"/>
      <c r="MT39" s="124"/>
      <c r="MU39" s="124"/>
      <c r="MV39" s="124"/>
      <c r="MW39" s="124"/>
      <c r="MX39" s="124"/>
      <c r="MY39" s="124"/>
      <c r="MZ39" s="124"/>
      <c r="NA39" s="124"/>
      <c r="NB39" s="124"/>
      <c r="NC39" s="124"/>
      <c r="ND39" s="124"/>
      <c r="NE39" s="124"/>
      <c r="NF39" s="124"/>
      <c r="NI39" s="24"/>
      <c r="NK39" s="24"/>
      <c r="NL39" s="24"/>
      <c r="NM39" s="24"/>
      <c r="NN39" s="24"/>
      <c r="NO39" s="24"/>
      <c r="NP39" s="24"/>
    </row>
    <row r="41" spans="2:380" ht="200.1" customHeight="1" x14ac:dyDescent="0.25"/>
    <row r="42" spans="2:380" ht="200.1" customHeight="1" x14ac:dyDescent="0.25"/>
    <row r="43" spans="2:380" ht="200.1" customHeight="1" x14ac:dyDescent="0.25"/>
    <row r="44" spans="2:380" ht="29.25" thickBot="1" x14ac:dyDescent="0.5">
      <c r="D44" s="51"/>
      <c r="E44" s="140" t="s">
        <v>22</v>
      </c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</row>
    <row r="45" spans="2:380" x14ac:dyDescent="0.25">
      <c r="C45" s="1">
        <v>0</v>
      </c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</row>
    <row r="46" spans="2:380" ht="15.75" thickBot="1" x14ac:dyDescent="0.3">
      <c r="D46" s="51"/>
      <c r="E46" s="51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1"/>
      <c r="S46" s="51"/>
      <c r="T46" s="51"/>
      <c r="U46" s="51"/>
      <c r="V46" s="51"/>
      <c r="W46" s="51"/>
      <c r="X46" s="51"/>
    </row>
    <row r="47" spans="2:380" x14ac:dyDescent="0.25">
      <c r="D47" s="55"/>
      <c r="E47" s="56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6"/>
      <c r="S47" s="56"/>
      <c r="T47" s="56"/>
    </row>
    <row r="48" spans="2:380" x14ac:dyDescent="0.25">
      <c r="D48" s="61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</row>
    <row r="49" spans="4:20" x14ac:dyDescent="0.25">
      <c r="D49" s="61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</row>
    <row r="50" spans="4:20" x14ac:dyDescent="0.25">
      <c r="D50" s="61"/>
      <c r="E50" s="62"/>
      <c r="F50" s="66">
        <v>701</v>
      </c>
      <c r="G50" s="66">
        <v>702</v>
      </c>
      <c r="H50" s="66">
        <v>703</v>
      </c>
      <c r="I50" s="66">
        <v>704</v>
      </c>
      <c r="J50" s="66">
        <v>705</v>
      </c>
      <c r="K50" s="66">
        <v>706</v>
      </c>
      <c r="L50" s="66">
        <v>707</v>
      </c>
      <c r="M50" s="66">
        <v>708</v>
      </c>
      <c r="N50" s="66">
        <v>709</v>
      </c>
      <c r="O50" s="66">
        <v>710</v>
      </c>
      <c r="P50" s="66">
        <v>711</v>
      </c>
      <c r="Q50" s="66">
        <v>712</v>
      </c>
      <c r="R50" s="62"/>
      <c r="S50" s="62"/>
      <c r="T50" s="62"/>
    </row>
    <row r="51" spans="4:20" x14ac:dyDescent="0.25">
      <c r="D51" s="61"/>
      <c r="E51" s="67" t="s">
        <v>25</v>
      </c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62"/>
      <c r="S51" s="62"/>
      <c r="T51" s="62"/>
    </row>
    <row r="52" spans="4:20" x14ac:dyDescent="0.25">
      <c r="D52" s="61"/>
      <c r="E52" s="62"/>
      <c r="F52" s="62"/>
      <c r="G52" s="62"/>
      <c r="H52" s="62"/>
      <c r="I52" s="62"/>
      <c r="J52" s="62"/>
      <c r="K52" s="68"/>
      <c r="L52" s="68"/>
      <c r="M52" s="68"/>
      <c r="N52" s="68"/>
      <c r="O52" s="68"/>
      <c r="P52" s="68"/>
      <c r="Q52" s="68"/>
      <c r="R52" s="62"/>
      <c r="S52" s="62"/>
      <c r="T52" s="62"/>
    </row>
    <row r="53" spans="4:20" x14ac:dyDescent="0.25">
      <c r="D53" s="61"/>
      <c r="E53" s="62"/>
      <c r="F53" s="66">
        <v>521</v>
      </c>
      <c r="G53" s="66">
        <v>522</v>
      </c>
      <c r="H53" s="66">
        <v>523</v>
      </c>
      <c r="I53" s="66">
        <v>524</v>
      </c>
      <c r="J53" s="66">
        <v>525</v>
      </c>
      <c r="K53" s="66">
        <v>526</v>
      </c>
      <c r="L53" s="66">
        <v>527</v>
      </c>
      <c r="M53" s="66">
        <v>528</v>
      </c>
      <c r="N53" s="66">
        <v>529</v>
      </c>
      <c r="O53" s="68"/>
      <c r="P53" s="68"/>
      <c r="Q53" s="68"/>
      <c r="R53" s="62"/>
      <c r="S53" s="62"/>
      <c r="T53" s="62"/>
    </row>
    <row r="54" spans="4:20" x14ac:dyDescent="0.25">
      <c r="D54" s="61"/>
      <c r="E54" s="67" t="s">
        <v>26</v>
      </c>
      <c r="F54" s="131"/>
      <c r="G54" s="131"/>
      <c r="H54" s="131"/>
      <c r="I54" s="131"/>
      <c r="J54" s="131"/>
      <c r="K54" s="131"/>
      <c r="L54" s="131"/>
      <c r="M54" s="131"/>
      <c r="N54" s="131"/>
      <c r="O54" s="62"/>
      <c r="P54" s="62"/>
      <c r="Q54" s="62"/>
      <c r="R54" s="62"/>
      <c r="S54" s="62"/>
      <c r="T54" s="62"/>
    </row>
    <row r="55" spans="4:20" x14ac:dyDescent="0.25">
      <c r="D55" s="61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</row>
    <row r="56" spans="4:20" x14ac:dyDescent="0.25">
      <c r="D56" s="61"/>
      <c r="E56" s="62"/>
      <c r="F56" s="66">
        <v>421</v>
      </c>
      <c r="G56" s="66">
        <v>422</v>
      </c>
      <c r="H56" s="66">
        <v>423</v>
      </c>
      <c r="I56" s="66">
        <v>424</v>
      </c>
      <c r="J56" s="66">
        <v>425</v>
      </c>
      <c r="K56" s="69">
        <v>426</v>
      </c>
      <c r="L56" s="66">
        <v>427</v>
      </c>
      <c r="M56" s="66">
        <v>428</v>
      </c>
      <c r="N56" s="66">
        <v>429</v>
      </c>
      <c r="O56" s="66">
        <v>430</v>
      </c>
      <c r="P56" s="66">
        <v>431</v>
      </c>
      <c r="Q56" s="66">
        <v>432</v>
      </c>
      <c r="R56" s="66">
        <v>433</v>
      </c>
      <c r="S56" s="62"/>
      <c r="T56" s="62"/>
    </row>
    <row r="57" spans="4:20" x14ac:dyDescent="0.25">
      <c r="D57" s="61"/>
      <c r="E57" s="67" t="s">
        <v>27</v>
      </c>
      <c r="F57" s="131"/>
      <c r="G57" s="131"/>
      <c r="H57" s="131"/>
      <c r="I57" s="131"/>
      <c r="J57" s="131"/>
      <c r="K57" s="132"/>
      <c r="L57" s="131"/>
      <c r="M57" s="131"/>
      <c r="N57" s="131"/>
      <c r="O57" s="131"/>
      <c r="P57" s="131"/>
      <c r="Q57" s="131"/>
      <c r="R57" s="131"/>
      <c r="S57" s="62"/>
      <c r="T57" s="62"/>
    </row>
    <row r="58" spans="4:20" x14ac:dyDescent="0.25">
      <c r="D58" s="61"/>
      <c r="E58" s="62"/>
      <c r="F58" s="62"/>
      <c r="G58" s="62"/>
      <c r="H58" s="62"/>
      <c r="I58" s="62"/>
      <c r="J58" s="62"/>
      <c r="K58" s="62"/>
      <c r="L58" s="62"/>
      <c r="M58" s="62"/>
      <c r="N58" s="68"/>
      <c r="O58" s="68"/>
      <c r="P58" s="68"/>
      <c r="Q58" s="68"/>
      <c r="R58" s="62"/>
      <c r="S58" s="62"/>
      <c r="T58" s="62"/>
    </row>
    <row r="59" spans="4:20" x14ac:dyDescent="0.25">
      <c r="D59" s="61"/>
      <c r="E59" s="62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2"/>
      <c r="S59" s="62"/>
      <c r="T59" s="62"/>
    </row>
    <row r="60" spans="4:20" x14ac:dyDescent="0.25">
      <c r="D60" s="61"/>
      <c r="E60" s="62"/>
      <c r="F60" s="66">
        <v>201</v>
      </c>
      <c r="G60" s="66">
        <v>202</v>
      </c>
      <c r="H60" s="66">
        <v>203</v>
      </c>
      <c r="I60" s="66">
        <v>204</v>
      </c>
      <c r="J60" s="66">
        <v>205</v>
      </c>
      <c r="K60" s="69">
        <v>206</v>
      </c>
      <c r="L60" s="66" t="s">
        <v>28</v>
      </c>
      <c r="M60" s="66" t="s">
        <v>29</v>
      </c>
      <c r="N60" s="68"/>
      <c r="O60" s="68"/>
      <c r="P60" s="68"/>
      <c r="Q60" s="68"/>
      <c r="R60" s="62"/>
      <c r="S60" s="62"/>
      <c r="T60" s="62"/>
    </row>
    <row r="61" spans="4:20" x14ac:dyDescent="0.25">
      <c r="D61" s="61"/>
      <c r="E61" s="67" t="s">
        <v>30</v>
      </c>
      <c r="F61" s="131"/>
      <c r="G61" s="131"/>
      <c r="H61" s="131"/>
      <c r="I61" s="131"/>
      <c r="J61" s="131"/>
      <c r="K61" s="132"/>
      <c r="L61" s="131"/>
      <c r="M61" s="131"/>
      <c r="N61" s="68"/>
      <c r="O61" s="68"/>
      <c r="P61" s="68"/>
      <c r="Q61" s="68"/>
      <c r="R61" s="62"/>
      <c r="S61" s="62"/>
      <c r="T61" s="62"/>
    </row>
    <row r="62" spans="4:20" x14ac:dyDescent="0.25">
      <c r="D62" s="61"/>
      <c r="E62" s="62"/>
      <c r="F62" s="62"/>
      <c r="G62" s="62"/>
      <c r="H62" s="62"/>
      <c r="I62" s="62"/>
      <c r="J62" s="62"/>
      <c r="K62" s="68"/>
      <c r="L62" s="68"/>
      <c r="M62" s="68"/>
      <c r="N62" s="68"/>
      <c r="O62" s="68"/>
      <c r="P62" s="68"/>
      <c r="Q62" s="68"/>
      <c r="R62" s="62"/>
      <c r="S62" s="62"/>
      <c r="T62" s="62"/>
    </row>
    <row r="63" spans="4:20" x14ac:dyDescent="0.25">
      <c r="D63" s="61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8"/>
      <c r="R63" s="62"/>
      <c r="S63" s="62"/>
      <c r="T63" s="62"/>
    </row>
    <row r="64" spans="4:20" ht="15.75" thickBot="1" x14ac:dyDescent="0.3">
      <c r="D64" s="70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2"/>
      <c r="R64" s="71"/>
      <c r="S64" s="71"/>
      <c r="T64" s="71"/>
    </row>
    <row r="65" spans="4:367" x14ac:dyDescent="0.25">
      <c r="D65" s="58"/>
      <c r="E65" s="59"/>
      <c r="F65" s="59"/>
      <c r="G65" s="60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6"/>
      <c r="S65" s="76"/>
      <c r="T65" s="76"/>
    </row>
    <row r="66" spans="4:367" ht="15.75" thickBot="1" x14ac:dyDescent="0.3">
      <c r="D66" s="63"/>
      <c r="E66" s="64"/>
      <c r="F66" s="64"/>
      <c r="G66" s="65"/>
    </row>
    <row r="67" spans="4:367" ht="15.75" thickBot="1" x14ac:dyDescent="0.3">
      <c r="D67" s="63"/>
      <c r="E67" s="81" t="s">
        <v>23</v>
      </c>
      <c r="F67" s="82" t="s">
        <v>24</v>
      </c>
      <c r="G67" s="65"/>
    </row>
    <row r="68" spans="4:367" hidden="1" x14ac:dyDescent="0.25">
      <c r="D68" s="63"/>
      <c r="E68" s="136"/>
      <c r="F68" s="137"/>
      <c r="G68" s="65"/>
    </row>
    <row r="69" spans="4:367" hidden="1" x14ac:dyDescent="0.25">
      <c r="D69" s="63"/>
      <c r="E69" s="136"/>
      <c r="F69" s="137"/>
      <c r="G69" s="65"/>
    </row>
    <row r="70" spans="4:367" hidden="1" x14ac:dyDescent="0.25">
      <c r="D70" s="63"/>
      <c r="E70" s="136"/>
      <c r="F70" s="137"/>
      <c r="G70" s="65"/>
    </row>
    <row r="71" spans="4:367" hidden="1" x14ac:dyDescent="0.25">
      <c r="D71" s="63"/>
      <c r="E71" s="136"/>
      <c r="F71" s="137"/>
      <c r="G71" s="65"/>
    </row>
    <row r="72" spans="4:367" hidden="1" x14ac:dyDescent="0.25">
      <c r="D72" s="63"/>
      <c r="E72" s="136"/>
      <c r="F72" s="137"/>
      <c r="G72" s="65"/>
    </row>
    <row r="73" spans="4:367" hidden="1" x14ac:dyDescent="0.25">
      <c r="D73" s="63"/>
      <c r="E73" s="136"/>
      <c r="F73" s="137"/>
      <c r="G73" s="65"/>
    </row>
    <row r="74" spans="4:367" hidden="1" x14ac:dyDescent="0.25">
      <c r="D74" s="63"/>
      <c r="E74" s="136"/>
      <c r="F74" s="137"/>
      <c r="G74" s="65"/>
      <c r="NC74" s="1">
        <f>COLUMN()</f>
        <v>367</v>
      </c>
    </row>
    <row r="75" spans="4:367" hidden="1" x14ac:dyDescent="0.25">
      <c r="D75" s="63"/>
      <c r="E75" s="136"/>
      <c r="F75" s="137"/>
      <c r="G75" s="65"/>
    </row>
    <row r="76" spans="4:367" hidden="1" x14ac:dyDescent="0.25">
      <c r="D76" s="63"/>
      <c r="E76" s="136"/>
      <c r="F76" s="137"/>
      <c r="G76" s="65"/>
    </row>
    <row r="77" spans="4:367" hidden="1" x14ac:dyDescent="0.25">
      <c r="D77" s="63"/>
      <c r="E77" s="136"/>
      <c r="F77" s="137"/>
      <c r="G77" s="65"/>
    </row>
    <row r="78" spans="4:367" hidden="1" x14ac:dyDescent="0.25">
      <c r="D78" s="63"/>
      <c r="E78" s="136"/>
      <c r="F78" s="137"/>
      <c r="G78" s="65"/>
    </row>
    <row r="79" spans="4:367" hidden="1" x14ac:dyDescent="0.25">
      <c r="D79" s="63"/>
      <c r="E79" s="136"/>
      <c r="F79" s="137"/>
      <c r="G79" s="65"/>
    </row>
    <row r="80" spans="4:367" hidden="1" x14ac:dyDescent="0.25">
      <c r="D80" s="63"/>
      <c r="E80" s="136"/>
      <c r="F80" s="137"/>
      <c r="G80" s="65"/>
    </row>
    <row r="81" spans="4:7" hidden="1" x14ac:dyDescent="0.25">
      <c r="D81" s="63"/>
      <c r="E81" s="136"/>
      <c r="F81" s="137"/>
      <c r="G81" s="65"/>
    </row>
    <row r="82" spans="4:7" hidden="1" x14ac:dyDescent="0.25">
      <c r="D82" s="63"/>
      <c r="E82" s="136"/>
      <c r="F82" s="137"/>
      <c r="G82" s="65"/>
    </row>
    <row r="83" spans="4:7" hidden="1" x14ac:dyDescent="0.25">
      <c r="D83" s="63"/>
      <c r="E83" s="136"/>
      <c r="F83" s="137"/>
      <c r="G83" s="65"/>
    </row>
    <row r="84" spans="4:7" hidden="1" x14ac:dyDescent="0.25">
      <c r="D84" s="63"/>
      <c r="E84" s="136"/>
      <c r="F84" s="137"/>
      <c r="G84" s="65"/>
    </row>
    <row r="85" spans="4:7" hidden="1" x14ac:dyDescent="0.25">
      <c r="D85" s="63"/>
      <c r="E85" s="136"/>
      <c r="F85" s="137"/>
      <c r="G85" s="65"/>
    </row>
    <row r="86" spans="4:7" hidden="1" x14ac:dyDescent="0.25">
      <c r="D86" s="63"/>
      <c r="E86" s="136"/>
      <c r="F86" s="137"/>
      <c r="G86" s="65"/>
    </row>
    <row r="87" spans="4:7" hidden="1" x14ac:dyDescent="0.25">
      <c r="D87" s="63"/>
      <c r="E87" s="136"/>
      <c r="F87" s="137"/>
      <c r="G87" s="65"/>
    </row>
    <row r="88" spans="4:7" hidden="1" x14ac:dyDescent="0.25">
      <c r="D88" s="63"/>
      <c r="E88" s="136"/>
      <c r="F88" s="137"/>
      <c r="G88" s="65"/>
    </row>
    <row r="89" spans="4:7" hidden="1" x14ac:dyDescent="0.25">
      <c r="D89" s="63"/>
      <c r="E89" s="136"/>
      <c r="F89" s="137"/>
      <c r="G89" s="65"/>
    </row>
    <row r="90" spans="4:7" hidden="1" x14ac:dyDescent="0.25">
      <c r="D90" s="63"/>
      <c r="E90" s="136"/>
      <c r="F90" s="137"/>
      <c r="G90" s="65"/>
    </row>
    <row r="91" spans="4:7" hidden="1" x14ac:dyDescent="0.25">
      <c r="D91" s="63"/>
      <c r="E91" s="136"/>
      <c r="F91" s="137"/>
      <c r="G91" s="65"/>
    </row>
    <row r="92" spans="4:7" hidden="1" x14ac:dyDescent="0.25">
      <c r="D92" s="63"/>
      <c r="E92" s="136"/>
      <c r="F92" s="137"/>
      <c r="G92" s="65"/>
    </row>
    <row r="93" spans="4:7" hidden="1" x14ac:dyDescent="0.25">
      <c r="D93" s="63"/>
      <c r="E93" s="136"/>
      <c r="F93" s="137"/>
      <c r="G93" s="65"/>
    </row>
    <row r="94" spans="4:7" hidden="1" x14ac:dyDescent="0.25">
      <c r="D94" s="63"/>
      <c r="E94" s="136"/>
      <c r="F94" s="137"/>
      <c r="G94" s="65"/>
    </row>
    <row r="95" spans="4:7" hidden="1" x14ac:dyDescent="0.25">
      <c r="D95" s="63"/>
      <c r="E95" s="136"/>
      <c r="F95" s="137"/>
      <c r="G95" s="65"/>
    </row>
    <row r="96" spans="4:7" hidden="1" x14ac:dyDescent="0.25">
      <c r="D96" s="63"/>
      <c r="E96" s="136"/>
      <c r="F96" s="137"/>
      <c r="G96" s="65"/>
    </row>
    <row r="97" spans="4:7" hidden="1" x14ac:dyDescent="0.25">
      <c r="D97" s="63"/>
      <c r="E97" s="136"/>
      <c r="F97" s="137"/>
      <c r="G97" s="65"/>
    </row>
    <row r="98" spans="4:7" hidden="1" x14ac:dyDescent="0.25">
      <c r="D98" s="63"/>
      <c r="E98" s="136"/>
      <c r="F98" s="137"/>
      <c r="G98" s="65"/>
    </row>
    <row r="99" spans="4:7" hidden="1" x14ac:dyDescent="0.25">
      <c r="D99" s="63"/>
      <c r="E99" s="136"/>
      <c r="F99" s="137"/>
      <c r="G99" s="65"/>
    </row>
    <row r="100" spans="4:7" hidden="1" x14ac:dyDescent="0.25">
      <c r="D100" s="63"/>
      <c r="E100" s="136"/>
      <c r="F100" s="137"/>
      <c r="G100" s="65"/>
    </row>
    <row r="101" spans="4:7" hidden="1" x14ac:dyDescent="0.25">
      <c r="D101" s="63"/>
      <c r="E101" s="136"/>
      <c r="F101" s="137"/>
      <c r="G101" s="65"/>
    </row>
    <row r="102" spans="4:7" ht="15.75" hidden="1" thickBot="1" x14ac:dyDescent="0.3">
      <c r="D102" s="63"/>
      <c r="E102" s="138"/>
      <c r="F102" s="139"/>
      <c r="G102" s="65"/>
    </row>
    <row r="103" spans="4:7" ht="15.75" thickBot="1" x14ac:dyDescent="0.3">
      <c r="D103" s="73"/>
      <c r="E103" s="74"/>
      <c r="F103" s="74"/>
      <c r="G103" s="75"/>
    </row>
    <row r="44200" spans="7:7" x14ac:dyDescent="0.25">
      <c r="G44200" s="2"/>
    </row>
  </sheetData>
  <autoFilter ref="E67:F102">
    <filterColumn colId="0">
      <customFilters>
        <customFilter operator="notEqual" val=" "/>
      </customFilters>
    </filterColumn>
  </autoFilter>
  <mergeCells count="1">
    <mergeCell ref="B1:B2"/>
  </mergeCells>
  <dataValidations count="1">
    <dataValidation type="textLength" operator="equal" allowBlank="1" showInputMessage="1" showErrorMessage="1" sqref="C27:NF39 C17:NF25 C4:NF15">
      <formula1>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olBreaks count="1" manualBreakCount="1">
    <brk id="370" max="1048575" man="1"/>
  </colBreaks>
  <ignoredErrors>
    <ignoredError sqref="A4"/>
  </ignoredErrors>
  <drawing r:id="rId2"/>
  <legacyDrawing r:id="rId3"/>
  <controls>
    <mc:AlternateContent xmlns:mc="http://schemas.openxmlformats.org/markup-compatibility/2006">
      <mc:Choice Requires="x14">
        <control shapeId="2064" r:id="rId4" name="CommandButton15">
          <controlPr defaultSize="0" autoFill="0" autoLine="0" r:id="rId5">
            <anchor moveWithCells="1">
              <from>
                <xdr:col>0</xdr:col>
                <xdr:colOff>123825</xdr:colOff>
                <xdr:row>15</xdr:row>
                <xdr:rowOff>123825</xdr:rowOff>
              </from>
              <to>
                <xdr:col>0</xdr:col>
                <xdr:colOff>2552700</xdr:colOff>
                <xdr:row>17</xdr:row>
                <xdr:rowOff>66675</xdr:rowOff>
              </to>
            </anchor>
          </controlPr>
        </control>
      </mc:Choice>
      <mc:Fallback>
        <control shapeId="2064" r:id="rId4" name="CommandButton15"/>
      </mc:Fallback>
    </mc:AlternateContent>
    <mc:AlternateContent xmlns:mc="http://schemas.openxmlformats.org/markup-compatibility/2006">
      <mc:Choice Requires="x14">
        <control shapeId="2066" r:id="rId6" name="CommandButton17">
          <controlPr defaultSize="0" autoFill="0" autoLine="0" r:id="rId7">
            <anchor moveWithCells="1">
              <from>
                <xdr:col>0</xdr:col>
                <xdr:colOff>123825</xdr:colOff>
                <xdr:row>21</xdr:row>
                <xdr:rowOff>0</xdr:rowOff>
              </from>
              <to>
                <xdr:col>0</xdr:col>
                <xdr:colOff>2552700</xdr:colOff>
                <xdr:row>22</xdr:row>
                <xdr:rowOff>152400</xdr:rowOff>
              </to>
            </anchor>
          </controlPr>
        </control>
      </mc:Choice>
      <mc:Fallback>
        <control shapeId="2066" r:id="rId6" name="CommandButton17"/>
      </mc:Fallback>
    </mc:AlternateContent>
    <mc:AlternateContent xmlns:mc="http://schemas.openxmlformats.org/markup-compatibility/2006">
      <mc:Choice Requires="x14">
        <control shapeId="2083" r:id="rId8" name="CommandButton19">
          <controlPr defaultSize="0" autoFill="0" autoLine="0" r:id="rId9">
            <anchor moveWithCells="1">
              <from>
                <xdr:col>0</xdr:col>
                <xdr:colOff>123825</xdr:colOff>
                <xdr:row>12</xdr:row>
                <xdr:rowOff>171450</xdr:rowOff>
              </from>
              <to>
                <xdr:col>0</xdr:col>
                <xdr:colOff>2552700</xdr:colOff>
                <xdr:row>14</xdr:row>
                <xdr:rowOff>123825</xdr:rowOff>
              </to>
            </anchor>
          </controlPr>
        </control>
      </mc:Choice>
      <mc:Fallback>
        <control shapeId="2083" r:id="rId8" name="CommandButton19"/>
      </mc:Fallback>
    </mc:AlternateContent>
    <mc:AlternateContent xmlns:mc="http://schemas.openxmlformats.org/markup-compatibility/2006">
      <mc:Choice Requires="x14">
        <control shapeId="2084" r:id="rId10" name="CommandButton14">
          <controlPr defaultSize="0" autoFill="0" autoLine="0" r:id="rId11">
            <anchor moveWithCells="1">
              <from>
                <xdr:col>0</xdr:col>
                <xdr:colOff>123825</xdr:colOff>
                <xdr:row>10</xdr:row>
                <xdr:rowOff>28575</xdr:rowOff>
              </from>
              <to>
                <xdr:col>0</xdr:col>
                <xdr:colOff>2552700</xdr:colOff>
                <xdr:row>11</xdr:row>
                <xdr:rowOff>180975</xdr:rowOff>
              </to>
            </anchor>
          </controlPr>
        </control>
      </mc:Choice>
      <mc:Fallback>
        <control shapeId="2084" r:id="rId10" name="CommandButton14"/>
      </mc:Fallback>
    </mc:AlternateContent>
    <mc:AlternateContent xmlns:mc="http://schemas.openxmlformats.org/markup-compatibility/2006">
      <mc:Choice Requires="x14">
        <control shapeId="2088" r:id="rId12" name="CommandButton20">
          <controlPr defaultSize="0" autoFill="0" autoLine="0" r:id="rId13">
            <anchor moveWithCells="1">
              <from>
                <xdr:col>0</xdr:col>
                <xdr:colOff>123825</xdr:colOff>
                <xdr:row>18</xdr:row>
                <xdr:rowOff>47625</xdr:rowOff>
              </from>
              <to>
                <xdr:col>0</xdr:col>
                <xdr:colOff>2552700</xdr:colOff>
                <xdr:row>20</xdr:row>
                <xdr:rowOff>0</xdr:rowOff>
              </to>
            </anchor>
          </controlPr>
        </control>
      </mc:Choice>
      <mc:Fallback>
        <control shapeId="2088" r:id="rId12" name="CommandButton20"/>
      </mc:Fallback>
    </mc:AlternateContent>
    <mc:AlternateContent xmlns:mc="http://schemas.openxmlformats.org/markup-compatibility/2006">
      <mc:Choice Requires="x14">
        <control shapeId="2091" r:id="rId14" name="ComboBox1">
          <controlPr defaultSize="0" autoFill="0" autoLine="0" r:id="rId15">
            <anchor>
              <from>
                <xdr:col>0</xdr:col>
                <xdr:colOff>85725</xdr:colOff>
                <xdr:row>6</xdr:row>
                <xdr:rowOff>142875</xdr:rowOff>
              </from>
              <to>
                <xdr:col>0</xdr:col>
                <xdr:colOff>2571750</xdr:colOff>
                <xdr:row>8</xdr:row>
                <xdr:rowOff>104775</xdr:rowOff>
              </to>
            </anchor>
          </controlPr>
        </control>
      </mc:Choice>
      <mc:Fallback>
        <control shapeId="2091" r:id="rId14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AT102"/>
  <sheetViews>
    <sheetView showGridLines="0" zoomScaleNormal="100" workbookViewId="0">
      <selection activeCell="J16" sqref="J16"/>
    </sheetView>
  </sheetViews>
  <sheetFormatPr defaultRowHeight="15" x14ac:dyDescent="0.25"/>
  <cols>
    <col min="2" max="2" width="25.85546875" customWidth="1"/>
    <col min="3" max="11" width="6.42578125" customWidth="1"/>
    <col min="12" max="12" width="20" customWidth="1"/>
    <col min="13" max="22" width="6.42578125" customWidth="1"/>
    <col min="34" max="34" width="7.28515625" customWidth="1"/>
    <col min="35" max="35" width="9.140625" hidden="1" customWidth="1"/>
    <col min="36" max="36" width="19.5703125" customWidth="1"/>
  </cols>
  <sheetData>
    <row r="1" spans="1:37" ht="51.75" customHeight="1" x14ac:dyDescent="0.9">
      <c r="D1" s="173" t="s">
        <v>22</v>
      </c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5"/>
      <c r="AE1" s="95"/>
      <c r="AF1" s="95"/>
      <c r="AG1" s="95"/>
      <c r="AH1" s="83"/>
      <c r="AI1" s="83"/>
      <c r="AJ1" s="83"/>
      <c r="AK1" s="83"/>
    </row>
    <row r="3" spans="1:37" ht="18" customHeight="1" x14ac:dyDescent="0.25"/>
    <row r="16" spans="1:37" ht="21.75" thickBot="1" x14ac:dyDescent="0.4">
      <c r="A16" s="86"/>
      <c r="B16" s="87"/>
      <c r="C16" s="165" t="s">
        <v>33</v>
      </c>
      <c r="D16" s="165"/>
      <c r="E16" s="165"/>
      <c r="F16" s="165"/>
      <c r="G16" s="87"/>
      <c r="H16" s="86"/>
      <c r="J16" s="97"/>
      <c r="K16" s="97"/>
      <c r="L16" s="97"/>
      <c r="M16" s="165" t="s">
        <v>34</v>
      </c>
      <c r="N16" s="165"/>
      <c r="O16" s="165"/>
      <c r="P16" s="165"/>
      <c r="Q16" s="165"/>
      <c r="R16" s="165"/>
      <c r="S16" s="165"/>
      <c r="T16" s="86"/>
    </row>
    <row r="17" spans="1:37" ht="21" x14ac:dyDescent="0.35">
      <c r="A17" s="88"/>
      <c r="B17" s="115">
        <f ca="1">TODAY()</f>
        <v>44704</v>
      </c>
      <c r="C17" s="89"/>
      <c r="D17" s="99"/>
      <c r="E17" s="89"/>
      <c r="F17" s="89"/>
      <c r="G17" s="90"/>
      <c r="H17" s="88"/>
      <c r="J17" s="88"/>
      <c r="K17" s="88"/>
      <c r="L17" s="115">
        <f ca="1">TODAY()-1</f>
        <v>44703</v>
      </c>
      <c r="M17" s="88"/>
      <c r="N17" s="88"/>
      <c r="O17" s="88"/>
      <c r="P17" s="88"/>
      <c r="Q17" s="88"/>
      <c r="R17" s="88"/>
      <c r="S17" s="88"/>
      <c r="T17" s="88"/>
      <c r="AJ17" s="114"/>
      <c r="AK17" s="114"/>
    </row>
    <row r="18" spans="1:37" ht="21" x14ac:dyDescent="0.35">
      <c r="A18" s="88"/>
      <c r="B18" s="107"/>
      <c r="C18" s="89"/>
      <c r="D18" s="99"/>
      <c r="E18" s="89"/>
      <c r="F18" s="89"/>
      <c r="G18" s="90"/>
      <c r="H18" s="88"/>
      <c r="J18" s="88"/>
      <c r="K18" s="88"/>
      <c r="L18" s="119"/>
      <c r="M18" s="170"/>
      <c r="N18" s="170"/>
      <c r="O18" s="170"/>
      <c r="P18" s="170"/>
      <c r="Q18" s="170"/>
      <c r="R18" s="170"/>
      <c r="S18" s="170"/>
      <c r="T18" s="170"/>
      <c r="U18" s="170"/>
      <c r="AJ18" s="114" t="s">
        <v>25</v>
      </c>
      <c r="AK18" s="114">
        <f>COUNTIF('SEMI CRÍTICAS'!F51:Q51,"*")</f>
        <v>0</v>
      </c>
    </row>
    <row r="19" spans="1:37" ht="21" x14ac:dyDescent="0.35">
      <c r="B19" s="108" t="s">
        <v>36</v>
      </c>
      <c r="C19" s="116"/>
      <c r="D19" s="116"/>
      <c r="E19" s="116"/>
      <c r="F19" s="116"/>
      <c r="G19" s="117"/>
      <c r="H19" s="116"/>
      <c r="I19" s="116"/>
      <c r="J19" s="116"/>
      <c r="K19" s="116"/>
      <c r="L19" s="119"/>
      <c r="M19" s="170"/>
      <c r="N19" s="170"/>
      <c r="O19" s="170"/>
      <c r="P19" s="170"/>
      <c r="Q19" s="170"/>
      <c r="R19" s="170"/>
      <c r="S19" s="170"/>
      <c r="T19" s="170"/>
      <c r="U19" s="170"/>
      <c r="AJ19" s="114" t="s">
        <v>44</v>
      </c>
      <c r="AK19" s="114">
        <f>COUNTIF('SEMI CRÍTICAS'!F54:N54,"*")</f>
        <v>0</v>
      </c>
    </row>
    <row r="20" spans="1:37" ht="21" x14ac:dyDescent="0.35">
      <c r="B20" s="109" t="s">
        <v>37</v>
      </c>
      <c r="C20" s="116"/>
      <c r="D20" s="116"/>
      <c r="E20" s="116"/>
      <c r="F20" s="116"/>
      <c r="G20" s="117"/>
      <c r="H20" s="116"/>
      <c r="I20" s="116"/>
      <c r="J20" s="116"/>
      <c r="K20" s="116"/>
      <c r="L20" s="119"/>
      <c r="M20" s="170"/>
      <c r="N20" s="170"/>
      <c r="O20" s="170"/>
      <c r="P20" s="170"/>
      <c r="Q20" s="170"/>
      <c r="R20" s="170"/>
      <c r="S20" s="170"/>
      <c r="T20" s="170"/>
      <c r="U20" s="170"/>
      <c r="AJ20" s="114" t="s">
        <v>30</v>
      </c>
      <c r="AK20" s="114">
        <f>COUNTIF('SEMI CRÍTICAS'!F61:M61,"*")</f>
        <v>0</v>
      </c>
    </row>
    <row r="21" spans="1:37" ht="21" x14ac:dyDescent="0.35">
      <c r="B21" s="108" t="s">
        <v>38</v>
      </c>
      <c r="C21" s="118"/>
      <c r="D21" s="116"/>
      <c r="E21" s="116"/>
      <c r="F21" s="116"/>
      <c r="G21" s="117"/>
      <c r="H21" s="116"/>
      <c r="I21" s="116"/>
      <c r="J21" s="116"/>
      <c r="K21" s="116"/>
      <c r="L21" s="119"/>
      <c r="M21" s="170"/>
      <c r="N21" s="170"/>
      <c r="O21" s="170"/>
      <c r="P21" s="170"/>
      <c r="Q21" s="170"/>
      <c r="R21" s="170"/>
      <c r="S21" s="170"/>
      <c r="T21" s="170"/>
      <c r="U21" s="170"/>
      <c r="AJ21" s="114" t="s">
        <v>43</v>
      </c>
      <c r="AK21" s="114">
        <f>COUNTIF('SEMI CRÍTICAS'!F57:R57,"*")</f>
        <v>0</v>
      </c>
    </row>
    <row r="22" spans="1:37" ht="21" x14ac:dyDescent="0.35">
      <c r="A22" s="96"/>
      <c r="B22" s="108" t="s">
        <v>45</v>
      </c>
      <c r="C22" s="116"/>
      <c r="D22" s="116"/>
      <c r="E22" s="116"/>
      <c r="F22" s="116"/>
      <c r="G22" s="117"/>
      <c r="H22" s="117"/>
      <c r="I22" s="117"/>
      <c r="J22" s="117"/>
      <c r="K22" s="117"/>
      <c r="L22" s="119"/>
      <c r="M22" s="170"/>
      <c r="N22" s="170"/>
      <c r="O22" s="170"/>
      <c r="P22" s="170"/>
      <c r="Q22" s="170"/>
      <c r="R22" s="170"/>
      <c r="S22" s="170"/>
      <c r="T22" s="170"/>
      <c r="U22" s="170"/>
      <c r="AJ22" s="114"/>
      <c r="AK22" s="114"/>
    </row>
    <row r="23" spans="1:37" ht="21" x14ac:dyDescent="0.35">
      <c r="A23" s="96"/>
      <c r="B23" s="96"/>
      <c r="C23" s="98"/>
      <c r="D23" s="98"/>
      <c r="E23" s="98"/>
      <c r="F23" s="98"/>
      <c r="G23" s="86"/>
      <c r="H23" s="88"/>
      <c r="I23" s="88"/>
      <c r="J23" s="88"/>
      <c r="K23" s="88"/>
      <c r="L23" s="119"/>
      <c r="M23" s="170"/>
      <c r="N23" s="170"/>
      <c r="O23" s="170"/>
      <c r="P23" s="170"/>
      <c r="Q23" s="170"/>
      <c r="R23" s="170"/>
      <c r="S23" s="170"/>
      <c r="T23" s="170"/>
      <c r="U23" s="170"/>
    </row>
    <row r="24" spans="1:37" ht="21" x14ac:dyDescent="0.35">
      <c r="A24" s="96"/>
      <c r="B24" s="96"/>
      <c r="C24" s="98"/>
      <c r="D24" s="98"/>
      <c r="E24" s="98"/>
      <c r="F24" s="98"/>
      <c r="G24" s="86"/>
      <c r="H24" s="88"/>
      <c r="I24" s="88"/>
      <c r="J24" s="88"/>
      <c r="K24" s="88"/>
      <c r="L24" s="119"/>
      <c r="M24" s="170"/>
      <c r="N24" s="170"/>
      <c r="O24" s="170"/>
      <c r="P24" s="170"/>
      <c r="Q24" s="170"/>
      <c r="R24" s="170"/>
      <c r="S24" s="170"/>
      <c r="T24" s="170"/>
      <c r="U24" s="170"/>
      <c r="AJ24" s="114"/>
      <c r="AK24" s="114"/>
    </row>
    <row r="25" spans="1:37" ht="21" x14ac:dyDescent="0.35">
      <c r="A25" s="86"/>
      <c r="B25" s="86"/>
      <c r="C25" s="106"/>
      <c r="D25" s="106"/>
      <c r="E25" s="106"/>
      <c r="F25" s="106"/>
      <c r="G25" s="86"/>
      <c r="L25" s="119"/>
      <c r="M25" s="174"/>
      <c r="N25" s="174"/>
      <c r="O25" s="174"/>
      <c r="P25" s="174"/>
      <c r="Q25" s="174"/>
      <c r="R25" s="174"/>
      <c r="S25" s="174"/>
      <c r="T25" s="174"/>
      <c r="U25" s="174"/>
      <c r="AJ25" s="114" t="s">
        <v>42</v>
      </c>
      <c r="AK25" s="114">
        <f>COUNTIF('ÁREAS CRÍTICAS'!F43:G43,"*")</f>
        <v>0</v>
      </c>
    </row>
    <row r="26" spans="1:37" ht="21" x14ac:dyDescent="0.35">
      <c r="D26" s="173" t="s">
        <v>31</v>
      </c>
      <c r="E26" s="173"/>
      <c r="F26" s="173"/>
      <c r="G26" s="173"/>
      <c r="H26" s="173"/>
      <c r="I26" s="173"/>
      <c r="J26" s="173"/>
      <c r="K26" s="173"/>
      <c r="L26" s="173"/>
      <c r="M26" s="173"/>
      <c r="N26" s="173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J26" s="114" t="s">
        <v>7</v>
      </c>
      <c r="AK26" s="114">
        <f>COUNTIF('ÁREAS CRÍTICAS'!F47:Q47,"*")</f>
        <v>0</v>
      </c>
    </row>
    <row r="27" spans="1:37" x14ac:dyDescent="0.25"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J27" s="114" t="s">
        <v>9</v>
      </c>
      <c r="AK27" s="114">
        <f>COUNTIF('ÁREAS CRÍTICAS'!F51:P51,"*")</f>
        <v>0</v>
      </c>
    </row>
    <row r="28" spans="1:37" x14ac:dyDescent="0.25">
      <c r="AJ28" s="114"/>
      <c r="AK28" s="114"/>
    </row>
    <row r="39" spans="1:46" ht="33.75" x14ac:dyDescent="0.5">
      <c r="M39" s="168"/>
      <c r="N39" s="168"/>
      <c r="O39" s="84"/>
    </row>
    <row r="40" spans="1:46" ht="21" customHeight="1" thickBot="1" x14ac:dyDescent="0.4">
      <c r="A40" s="86"/>
      <c r="B40" s="87"/>
      <c r="C40" s="165" t="s">
        <v>33</v>
      </c>
      <c r="D40" s="165"/>
      <c r="E40" s="165"/>
      <c r="F40" s="165"/>
      <c r="G40" s="87"/>
      <c r="H40" s="86"/>
      <c r="J40" s="97"/>
      <c r="K40" s="97"/>
      <c r="L40" s="97"/>
      <c r="M40" s="165" t="s">
        <v>34</v>
      </c>
      <c r="N40" s="165"/>
      <c r="O40" s="165"/>
      <c r="P40" s="165"/>
      <c r="Q40" s="165"/>
      <c r="R40" s="165"/>
      <c r="S40" s="165"/>
      <c r="T40" s="86"/>
    </row>
    <row r="41" spans="1:46" ht="21" customHeight="1" x14ac:dyDescent="0.35">
      <c r="A41" s="88"/>
      <c r="B41" s="115">
        <f ca="1">TODAY()</f>
        <v>44704</v>
      </c>
      <c r="C41" s="89"/>
      <c r="D41" s="99"/>
      <c r="E41" s="89"/>
      <c r="F41" s="89"/>
      <c r="G41" s="90"/>
      <c r="H41" s="88"/>
      <c r="J41" s="88"/>
      <c r="K41" s="88"/>
      <c r="L41" s="115">
        <f ca="1">TODAY()-1</f>
        <v>44703</v>
      </c>
      <c r="M41" s="88"/>
      <c r="N41" s="88"/>
      <c r="O41" s="88"/>
      <c r="P41" s="88"/>
      <c r="Q41" s="88"/>
      <c r="R41" s="88"/>
      <c r="S41" s="88"/>
      <c r="T41" s="88"/>
    </row>
    <row r="42" spans="1:46" ht="21" customHeight="1" x14ac:dyDescent="0.75">
      <c r="B42" s="110" t="s">
        <v>39</v>
      </c>
      <c r="C42" s="116"/>
      <c r="D42" s="116"/>
      <c r="E42" s="116"/>
      <c r="F42" s="116"/>
      <c r="G42" s="121"/>
      <c r="H42" s="116"/>
      <c r="I42" s="116"/>
      <c r="J42" s="116"/>
      <c r="K42" s="116"/>
      <c r="L42" s="143"/>
      <c r="M42" s="170"/>
      <c r="N42" s="170"/>
      <c r="O42" s="170"/>
      <c r="P42" s="170"/>
      <c r="Q42" s="170"/>
      <c r="R42" s="170"/>
      <c r="S42" s="170"/>
      <c r="T42" s="170"/>
      <c r="U42" s="170"/>
      <c r="AH42" s="86"/>
      <c r="AI42" s="86"/>
      <c r="AL42" s="85"/>
    </row>
    <row r="43" spans="1:46" ht="21" customHeight="1" x14ac:dyDescent="0.75">
      <c r="B43" s="111" t="s">
        <v>40</v>
      </c>
      <c r="C43" s="116"/>
      <c r="D43" s="116"/>
      <c r="E43" s="116"/>
      <c r="F43" s="116"/>
      <c r="G43" s="121"/>
      <c r="H43" s="116"/>
      <c r="I43" s="116"/>
      <c r="J43" s="116"/>
      <c r="K43" s="116"/>
      <c r="L43" s="143"/>
      <c r="M43" s="170"/>
      <c r="N43" s="170"/>
      <c r="O43" s="170"/>
      <c r="P43" s="170"/>
      <c r="Q43" s="170"/>
      <c r="R43" s="170"/>
      <c r="S43" s="170"/>
      <c r="T43" s="170"/>
      <c r="U43" s="170"/>
      <c r="V43" s="101"/>
      <c r="W43" s="101"/>
      <c r="X43" s="101"/>
      <c r="Y43" s="101"/>
      <c r="AH43" s="86"/>
      <c r="AI43" s="86"/>
      <c r="AL43" s="85"/>
      <c r="AN43" s="85"/>
      <c r="AO43" s="85"/>
    </row>
    <row r="44" spans="1:46" ht="21" customHeight="1" x14ac:dyDescent="0.75">
      <c r="B44" s="111" t="s">
        <v>41</v>
      </c>
      <c r="C44" s="116"/>
      <c r="D44" s="116"/>
      <c r="E44" s="116"/>
      <c r="F44" s="116"/>
      <c r="G44" s="121"/>
      <c r="H44" s="116"/>
      <c r="I44" s="116"/>
      <c r="J44" s="116"/>
      <c r="K44" s="116"/>
      <c r="L44" s="143"/>
      <c r="M44" s="170"/>
      <c r="N44" s="170"/>
      <c r="O44" s="170"/>
      <c r="P44" s="170"/>
      <c r="Q44" s="170"/>
      <c r="R44" s="170"/>
      <c r="S44" s="170"/>
      <c r="T44" s="170"/>
      <c r="U44" s="170"/>
      <c r="V44" s="101"/>
      <c r="W44" s="101"/>
      <c r="X44" s="101"/>
      <c r="Y44" s="101"/>
      <c r="AH44" s="86"/>
      <c r="AI44" s="86"/>
      <c r="AL44" s="85"/>
      <c r="AM44" s="85"/>
      <c r="AN44" s="85"/>
      <c r="AO44" s="85"/>
    </row>
    <row r="45" spans="1:46" ht="21" customHeight="1" x14ac:dyDescent="0.75">
      <c r="A45" s="96"/>
      <c r="B45" s="105"/>
      <c r="C45" s="98"/>
      <c r="D45" s="98"/>
      <c r="E45" s="98"/>
      <c r="F45" s="98"/>
      <c r="G45" s="86"/>
      <c r="H45" s="88"/>
      <c r="I45" s="88"/>
      <c r="J45" s="88"/>
      <c r="K45" s="88"/>
      <c r="L45" s="143"/>
      <c r="M45" s="170"/>
      <c r="N45" s="170"/>
      <c r="O45" s="170"/>
      <c r="P45" s="170"/>
      <c r="Q45" s="170"/>
      <c r="R45" s="170"/>
      <c r="S45" s="170"/>
      <c r="T45" s="170"/>
      <c r="U45" s="170"/>
      <c r="V45" s="101"/>
      <c r="W45" s="101"/>
      <c r="X45" s="101"/>
      <c r="Y45" s="101"/>
      <c r="AH45" s="86"/>
      <c r="AI45" s="86"/>
      <c r="AJ45" s="85"/>
      <c r="AK45" s="85"/>
      <c r="AL45" s="85"/>
      <c r="AM45" s="85"/>
      <c r="AN45" s="85"/>
    </row>
    <row r="46" spans="1:46" ht="21" customHeight="1" x14ac:dyDescent="0.75">
      <c r="A46" s="86"/>
      <c r="B46" s="86"/>
      <c r="C46" s="169"/>
      <c r="D46" s="169"/>
      <c r="E46" s="169" t="s">
        <v>35</v>
      </c>
      <c r="F46" s="169"/>
      <c r="G46" s="86"/>
      <c r="L46" s="143"/>
      <c r="M46" s="170"/>
      <c r="N46" s="170"/>
      <c r="O46" s="170"/>
      <c r="P46" s="170"/>
      <c r="Q46" s="170"/>
      <c r="R46" s="170"/>
      <c r="S46" s="170"/>
      <c r="T46" s="170"/>
      <c r="U46" s="170"/>
      <c r="V46" s="101"/>
      <c r="W46" s="101"/>
      <c r="X46" s="101"/>
      <c r="Y46" s="101"/>
      <c r="AH46" s="86"/>
      <c r="AI46" s="86"/>
      <c r="AK46" s="171"/>
      <c r="AL46" s="171"/>
      <c r="AM46" s="171"/>
    </row>
    <row r="47" spans="1:46" ht="21" customHeight="1" x14ac:dyDescent="0.35">
      <c r="A47" s="86"/>
      <c r="B47" s="101"/>
      <c r="C47" s="112"/>
      <c r="D47" s="112"/>
      <c r="E47" s="113"/>
      <c r="F47" s="113"/>
      <c r="G47" s="113"/>
      <c r="H47" s="113"/>
      <c r="I47" s="101"/>
      <c r="J47" s="103"/>
      <c r="K47" s="100"/>
      <c r="L47" s="143"/>
      <c r="M47" s="170"/>
      <c r="N47" s="170"/>
      <c r="O47" s="170"/>
      <c r="P47" s="170"/>
      <c r="Q47" s="170"/>
      <c r="R47" s="170"/>
      <c r="S47" s="170"/>
      <c r="T47" s="170"/>
      <c r="U47" s="170"/>
      <c r="V47" s="101"/>
      <c r="W47" s="101"/>
      <c r="X47" s="101"/>
      <c r="Y47" s="101"/>
      <c r="AH47" s="86"/>
      <c r="AI47" s="86"/>
      <c r="AK47" s="172"/>
      <c r="AL47" s="172"/>
      <c r="AM47" s="172"/>
    </row>
    <row r="48" spans="1:46" ht="21" customHeight="1" x14ac:dyDescent="0.35">
      <c r="A48" s="86"/>
      <c r="B48" s="101"/>
      <c r="C48" s="112"/>
      <c r="D48" s="112"/>
      <c r="E48" s="113"/>
      <c r="F48" s="113"/>
      <c r="G48" s="113"/>
      <c r="H48" s="113"/>
      <c r="I48" s="100"/>
      <c r="J48" s="101"/>
      <c r="K48" s="100"/>
      <c r="L48" s="142"/>
      <c r="M48" s="170"/>
      <c r="N48" s="170"/>
      <c r="O48" s="170"/>
      <c r="P48" s="170"/>
      <c r="Q48" s="170"/>
      <c r="R48" s="170"/>
      <c r="S48" s="170"/>
      <c r="T48" s="170"/>
      <c r="U48" s="170"/>
      <c r="V48" s="101"/>
      <c r="W48" s="101"/>
      <c r="X48" s="101"/>
      <c r="Y48" s="101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  <c r="AT48" s="86"/>
    </row>
    <row r="49" spans="1:46" ht="21" customHeight="1" x14ac:dyDescent="0.35">
      <c r="A49" s="86"/>
      <c r="B49" s="101"/>
      <c r="C49" s="166"/>
      <c r="D49" s="166"/>
      <c r="E49" s="167"/>
      <c r="F49" s="167"/>
      <c r="G49" s="167"/>
      <c r="H49" s="167"/>
      <c r="I49" s="100"/>
      <c r="J49" s="101"/>
      <c r="K49" s="100"/>
      <c r="L49" s="141"/>
      <c r="M49" s="170"/>
      <c r="N49" s="170"/>
      <c r="O49" s="170"/>
      <c r="P49" s="170"/>
      <c r="Q49" s="170"/>
      <c r="R49" s="170"/>
      <c r="S49" s="170"/>
      <c r="T49" s="170"/>
      <c r="U49" s="170"/>
      <c r="V49" s="101"/>
      <c r="W49" s="101"/>
      <c r="X49" s="101"/>
      <c r="Y49" s="101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</row>
    <row r="50" spans="1:46" ht="21" customHeight="1" x14ac:dyDescent="0.35">
      <c r="A50" s="86"/>
      <c r="B50" s="101"/>
      <c r="C50" s="104"/>
      <c r="D50" s="102"/>
      <c r="E50" s="164"/>
      <c r="F50" s="164"/>
      <c r="G50" s="164"/>
      <c r="H50" s="164"/>
      <c r="I50" s="101"/>
      <c r="J50" s="103"/>
      <c r="K50" s="100"/>
      <c r="L50" s="120"/>
      <c r="M50" s="170"/>
      <c r="N50" s="170"/>
      <c r="O50" s="170"/>
      <c r="P50" s="170"/>
      <c r="Q50" s="170"/>
      <c r="R50" s="170"/>
      <c r="S50" s="170"/>
      <c r="T50" s="170"/>
      <c r="U50" s="170"/>
      <c r="V50" s="101"/>
      <c r="W50" s="101"/>
      <c r="X50" s="101"/>
      <c r="Y50" s="101"/>
      <c r="AD50" s="91"/>
      <c r="AE50" s="91"/>
      <c r="AF50" s="91"/>
      <c r="AG50" s="91"/>
      <c r="AH50" s="91"/>
      <c r="AI50" s="91"/>
      <c r="AJ50" s="91"/>
      <c r="AK50" s="91"/>
      <c r="AL50" s="86"/>
      <c r="AM50" s="86"/>
      <c r="AN50" s="86"/>
      <c r="AO50" s="86"/>
      <c r="AP50" s="86"/>
      <c r="AQ50" s="86"/>
      <c r="AR50" s="86"/>
      <c r="AS50" s="86"/>
      <c r="AT50" s="86"/>
    </row>
    <row r="51" spans="1:46" ht="21" customHeight="1" x14ac:dyDescent="0.35">
      <c r="A51" s="86"/>
      <c r="B51" s="101"/>
      <c r="C51" s="103"/>
      <c r="D51" s="103"/>
      <c r="E51" s="103"/>
      <c r="F51" s="103"/>
      <c r="G51" s="103"/>
      <c r="H51" s="103"/>
      <c r="I51" s="103"/>
      <c r="J51" s="101"/>
      <c r="K51" s="100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</row>
    <row r="52" spans="1:46" ht="21" customHeight="1" x14ac:dyDescent="0.35">
      <c r="A52" s="86"/>
      <c r="B52" s="101"/>
      <c r="C52" s="103"/>
      <c r="D52" s="103"/>
      <c r="E52" s="103"/>
      <c r="F52" s="103"/>
      <c r="G52" s="103"/>
      <c r="H52" s="103"/>
      <c r="I52" s="103"/>
      <c r="J52" s="101"/>
      <c r="K52" s="101"/>
      <c r="L52" s="101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</row>
    <row r="53" spans="1:46" ht="21" customHeight="1" x14ac:dyDescent="0.35">
      <c r="A53" s="86"/>
      <c r="B53" s="86"/>
      <c r="J53" s="86"/>
      <c r="K53" s="86"/>
      <c r="L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  <c r="AT53" s="86"/>
    </row>
    <row r="54" spans="1:46" ht="21" x14ac:dyDescent="0.35">
      <c r="A54" s="86"/>
      <c r="B54" s="86"/>
      <c r="J54" s="86"/>
      <c r="K54" s="86"/>
      <c r="L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  <c r="AT54" s="86"/>
    </row>
    <row r="55" spans="1:46" ht="21" x14ac:dyDescent="0.35">
      <c r="A55" s="86"/>
      <c r="B55" s="86"/>
      <c r="J55" s="86"/>
      <c r="K55" s="86"/>
      <c r="L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</row>
    <row r="56" spans="1:46" ht="21" x14ac:dyDescent="0.35">
      <c r="A56" s="86"/>
      <c r="B56" s="86"/>
      <c r="J56" s="86"/>
      <c r="K56" s="86"/>
      <c r="L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</row>
    <row r="57" spans="1:46" ht="21" x14ac:dyDescent="0.3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</row>
    <row r="58" spans="1:46" ht="21" x14ac:dyDescent="0.3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</row>
    <row r="59" spans="1:46" ht="21" x14ac:dyDescent="0.3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</row>
    <row r="60" spans="1:46" ht="21" x14ac:dyDescent="0.35">
      <c r="A60" s="86"/>
      <c r="B60" s="86"/>
      <c r="C60" s="86"/>
      <c r="D60" s="86"/>
      <c r="E60" s="86"/>
      <c r="F60" s="87"/>
      <c r="G60" s="87"/>
      <c r="H60" s="87"/>
      <c r="I60" s="87"/>
      <c r="J60" s="87"/>
      <c r="K60" s="86"/>
      <c r="L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  <c r="AT60" s="86"/>
    </row>
    <row r="61" spans="1:46" ht="21" x14ac:dyDescent="0.3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  <c r="AT61" s="86"/>
    </row>
    <row r="62" spans="1:46" ht="21" x14ac:dyDescent="0.3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  <c r="AT62" s="86"/>
    </row>
    <row r="63" spans="1:46" ht="21" x14ac:dyDescent="0.3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  <c r="AT63" s="86"/>
    </row>
    <row r="64" spans="1:46" ht="21" x14ac:dyDescent="0.3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  <c r="AT64" s="86"/>
    </row>
    <row r="65" spans="1:46" ht="21" x14ac:dyDescent="0.3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  <c r="AT65" s="86"/>
    </row>
    <row r="66" spans="1:46" ht="21" x14ac:dyDescent="0.3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  <c r="AT66" s="86"/>
    </row>
    <row r="67" spans="1:46" ht="21" x14ac:dyDescent="0.3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  <c r="AT67" s="86"/>
    </row>
    <row r="68" spans="1:46" ht="21" x14ac:dyDescent="0.3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  <c r="AT68" s="86"/>
    </row>
    <row r="69" spans="1:46" ht="21" x14ac:dyDescent="0.3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  <c r="AT69" s="86"/>
    </row>
    <row r="70" spans="1:46" ht="21" x14ac:dyDescent="0.3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  <c r="AT70" s="86"/>
    </row>
    <row r="71" spans="1:46" ht="21" x14ac:dyDescent="0.3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  <c r="AT71" s="86"/>
    </row>
    <row r="72" spans="1:46" ht="21" x14ac:dyDescent="0.3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  <c r="AT72" s="86"/>
    </row>
    <row r="73" spans="1:46" ht="21" x14ac:dyDescent="0.3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  <c r="AT73" s="86"/>
    </row>
    <row r="74" spans="1:46" ht="21" x14ac:dyDescent="0.3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  <c r="AT74" s="86"/>
    </row>
    <row r="75" spans="1:46" ht="21" x14ac:dyDescent="0.3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  <c r="AT75" s="86"/>
    </row>
    <row r="76" spans="1:46" ht="21" x14ac:dyDescent="0.3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  <c r="AT76" s="86"/>
    </row>
    <row r="77" spans="1:46" ht="21" x14ac:dyDescent="0.3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  <c r="AT77" s="86"/>
    </row>
    <row r="78" spans="1:46" ht="21" x14ac:dyDescent="0.3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  <c r="AT78" s="86"/>
    </row>
    <row r="79" spans="1:46" ht="21" x14ac:dyDescent="0.3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  <c r="AT79" s="86"/>
    </row>
    <row r="80" spans="1:46" ht="21" x14ac:dyDescent="0.3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  <c r="AT80" s="86"/>
    </row>
    <row r="81" spans="1:46" ht="21" x14ac:dyDescent="0.3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  <c r="AT81" s="86"/>
    </row>
    <row r="82" spans="1:46" ht="21" x14ac:dyDescent="0.35">
      <c r="A82" s="86"/>
      <c r="B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  <c r="AT82" s="86"/>
    </row>
    <row r="83" spans="1:46" ht="21" x14ac:dyDescent="0.35">
      <c r="A83" s="86"/>
      <c r="B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AK83" s="86"/>
      <c r="AL83" s="86"/>
      <c r="AM83" s="86"/>
      <c r="AN83" s="86"/>
      <c r="AO83" s="86"/>
      <c r="AP83" s="86"/>
      <c r="AQ83" s="86"/>
      <c r="AR83" s="86"/>
      <c r="AS83" s="86"/>
      <c r="AT83" s="86"/>
    </row>
    <row r="84" spans="1:46" ht="21" x14ac:dyDescent="0.35">
      <c r="A84" s="86"/>
      <c r="B84" s="86"/>
      <c r="J84" s="87"/>
      <c r="K84" s="87"/>
      <c r="L84" s="86"/>
      <c r="M84" s="86"/>
      <c r="N84" s="86"/>
      <c r="O84" s="86"/>
      <c r="P84" s="86"/>
      <c r="Q84" s="86"/>
      <c r="R84" s="86"/>
      <c r="S84" s="86"/>
      <c r="T84" s="86"/>
      <c r="AK84" s="86"/>
      <c r="AL84" s="86"/>
      <c r="AM84" s="86"/>
      <c r="AN84" s="86"/>
      <c r="AO84" s="86"/>
      <c r="AP84" s="86"/>
      <c r="AQ84" s="86"/>
      <c r="AR84" s="86"/>
      <c r="AS84" s="86"/>
      <c r="AT84" s="86"/>
    </row>
    <row r="85" spans="1:46" ht="21" x14ac:dyDescent="0.35">
      <c r="A85" s="86"/>
      <c r="B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AK85" s="86"/>
      <c r="AL85" s="86"/>
      <c r="AM85" s="86"/>
      <c r="AN85" s="86"/>
      <c r="AO85" s="86"/>
      <c r="AP85" s="86"/>
      <c r="AQ85" s="86"/>
      <c r="AR85" s="86"/>
      <c r="AS85" s="86"/>
      <c r="AT85" s="86"/>
    </row>
    <row r="86" spans="1:46" ht="21" x14ac:dyDescent="0.35">
      <c r="A86" s="86"/>
      <c r="B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8"/>
      <c r="AK86" s="86"/>
      <c r="AL86" s="86"/>
      <c r="AM86" s="86"/>
      <c r="AN86" s="86"/>
      <c r="AO86" s="86"/>
      <c r="AP86" s="86"/>
      <c r="AQ86" s="86"/>
      <c r="AR86" s="86"/>
      <c r="AS86" s="86"/>
      <c r="AT86" s="86"/>
    </row>
    <row r="87" spans="1:46" ht="21" x14ac:dyDescent="0.35">
      <c r="A87" s="86"/>
      <c r="B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8"/>
      <c r="AK87" s="86"/>
      <c r="AL87" s="86"/>
      <c r="AM87" s="86"/>
      <c r="AN87" s="86"/>
      <c r="AO87" s="86"/>
      <c r="AP87" s="86"/>
      <c r="AQ87" s="86"/>
      <c r="AR87" s="86"/>
      <c r="AS87" s="86"/>
      <c r="AT87" s="86"/>
    </row>
    <row r="88" spans="1:46" ht="21" x14ac:dyDescent="0.35">
      <c r="A88" s="86"/>
      <c r="B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8"/>
      <c r="AK88" s="86"/>
      <c r="AL88" s="86"/>
      <c r="AM88" s="86"/>
      <c r="AN88" s="86"/>
      <c r="AO88" s="86"/>
      <c r="AP88" s="86"/>
      <c r="AQ88" s="86"/>
      <c r="AR88" s="86"/>
      <c r="AS88" s="86"/>
      <c r="AT88" s="86"/>
    </row>
    <row r="89" spans="1:46" ht="21" x14ac:dyDescent="0.35">
      <c r="A89" s="86"/>
      <c r="B89" s="86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AK89" s="86"/>
      <c r="AL89" s="86"/>
      <c r="AM89" s="86"/>
      <c r="AN89" s="86"/>
      <c r="AO89" s="86"/>
      <c r="AP89" s="86"/>
      <c r="AQ89" s="86"/>
      <c r="AR89" s="86"/>
      <c r="AS89" s="86"/>
      <c r="AT89" s="86"/>
    </row>
    <row r="90" spans="1:46" ht="21" x14ac:dyDescent="0.35">
      <c r="A90" s="86"/>
      <c r="B90" s="86"/>
      <c r="J90" s="88"/>
      <c r="K90" s="88"/>
      <c r="L90" s="88"/>
      <c r="M90" s="86"/>
      <c r="N90" s="86"/>
      <c r="O90" s="86"/>
      <c r="P90" s="86"/>
      <c r="Q90" s="86"/>
      <c r="R90" s="86"/>
      <c r="S90" s="86"/>
      <c r="T90" s="88"/>
      <c r="AK90" s="86"/>
      <c r="AL90" s="86"/>
      <c r="AM90" s="86"/>
      <c r="AN90" s="86"/>
      <c r="AO90" s="86"/>
      <c r="AP90" s="86"/>
      <c r="AQ90" s="86"/>
      <c r="AR90" s="86"/>
      <c r="AS90" s="86"/>
      <c r="AT90" s="86"/>
    </row>
    <row r="91" spans="1:46" ht="21" x14ac:dyDescent="0.35">
      <c r="A91" s="86"/>
      <c r="B91" s="86"/>
      <c r="J91" s="86"/>
      <c r="K91" s="86"/>
      <c r="L91" s="86"/>
      <c r="M91" s="86"/>
      <c r="N91" s="86"/>
      <c r="O91" s="86"/>
      <c r="P91" s="86"/>
      <c r="Q91" s="86"/>
      <c r="R91" s="86"/>
      <c r="S91" s="92"/>
      <c r="T91" s="93"/>
      <c r="AK91" s="86"/>
      <c r="AL91" s="86"/>
      <c r="AM91" s="86"/>
      <c r="AN91" s="86"/>
      <c r="AO91" s="86"/>
      <c r="AP91" s="86"/>
      <c r="AQ91" s="86"/>
      <c r="AR91" s="86"/>
      <c r="AS91" s="86"/>
      <c r="AT91" s="86"/>
    </row>
    <row r="92" spans="1:46" ht="21" x14ac:dyDescent="0.3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  <c r="AT92" s="86"/>
    </row>
    <row r="93" spans="1:46" ht="21" x14ac:dyDescent="0.3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  <c r="AT93" s="86"/>
    </row>
    <row r="94" spans="1:46" ht="21" x14ac:dyDescent="0.3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  <c r="AT94" s="86"/>
    </row>
    <row r="95" spans="1:46" ht="21" x14ac:dyDescent="0.3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  <c r="AT95" s="86"/>
    </row>
    <row r="96" spans="1:46" ht="21" x14ac:dyDescent="0.3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  <c r="AT96" s="86"/>
    </row>
    <row r="97" spans="1:46" ht="21" x14ac:dyDescent="0.3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  <c r="AT97" s="86"/>
    </row>
    <row r="98" spans="1:46" ht="21" x14ac:dyDescent="0.3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  <c r="AT98" s="86"/>
    </row>
    <row r="99" spans="1:46" ht="21" x14ac:dyDescent="0.3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  <c r="AT99" s="86"/>
    </row>
    <row r="100" spans="1:46" ht="21" x14ac:dyDescent="0.3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  <c r="AT100" s="86"/>
    </row>
    <row r="101" spans="1:46" ht="21" x14ac:dyDescent="0.3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  <c r="AT101" s="86"/>
    </row>
    <row r="102" spans="1:46" ht="21" x14ac:dyDescent="0.3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  <c r="AT102" s="86"/>
    </row>
  </sheetData>
  <sheetProtection sheet="1" objects="1" scenarios="1"/>
  <mergeCells count="30">
    <mergeCell ref="AK46:AM46"/>
    <mergeCell ref="AK47:AM47"/>
    <mergeCell ref="M46:U46"/>
    <mergeCell ref="D1:N1"/>
    <mergeCell ref="D26:N26"/>
    <mergeCell ref="M19:U19"/>
    <mergeCell ref="M20:U20"/>
    <mergeCell ref="M21:U21"/>
    <mergeCell ref="M22:U22"/>
    <mergeCell ref="M23:U23"/>
    <mergeCell ref="M24:U24"/>
    <mergeCell ref="M25:U25"/>
    <mergeCell ref="M43:U43"/>
    <mergeCell ref="M45:U45"/>
    <mergeCell ref="M47:U47"/>
    <mergeCell ref="E50:H50"/>
    <mergeCell ref="M16:S16"/>
    <mergeCell ref="C40:F40"/>
    <mergeCell ref="M40:S40"/>
    <mergeCell ref="C49:D49"/>
    <mergeCell ref="E49:H49"/>
    <mergeCell ref="M39:N39"/>
    <mergeCell ref="C16:F16"/>
    <mergeCell ref="C46:F46"/>
    <mergeCell ref="M49:U49"/>
    <mergeCell ref="M50:U50"/>
    <mergeCell ref="M48:U48"/>
    <mergeCell ref="M18:U18"/>
    <mergeCell ref="M42:U42"/>
    <mergeCell ref="M44:U4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4:N49"/>
  <sheetViews>
    <sheetView showGridLines="0" tabSelected="1" workbookViewId="0">
      <selection activeCell="P20" sqref="P20"/>
    </sheetView>
  </sheetViews>
  <sheetFormatPr defaultRowHeight="15" x14ac:dyDescent="0.25"/>
  <cols>
    <col min="2" max="2" width="75.28515625" bestFit="1" customWidth="1"/>
    <col min="3" max="14" width="5.28515625" customWidth="1"/>
  </cols>
  <sheetData>
    <row r="4" spans="2:14" ht="21" x14ac:dyDescent="0.35">
      <c r="B4" s="175" t="s">
        <v>69</v>
      </c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</row>
    <row r="5" spans="2:14" ht="43.5" customHeight="1" x14ac:dyDescent="0.25">
      <c r="B5" s="145" t="s">
        <v>68</v>
      </c>
      <c r="C5" s="146" t="s">
        <v>48</v>
      </c>
      <c r="D5" s="146" t="s">
        <v>49</v>
      </c>
      <c r="E5" s="146" t="s">
        <v>50</v>
      </c>
      <c r="F5" s="146" t="s">
        <v>51</v>
      </c>
      <c r="G5" s="146" t="s">
        <v>52</v>
      </c>
      <c r="H5" s="146" t="s">
        <v>53</v>
      </c>
      <c r="I5" s="146" t="s">
        <v>54</v>
      </c>
      <c r="J5" s="146" t="s">
        <v>55</v>
      </c>
      <c r="K5" s="146" t="s">
        <v>56</v>
      </c>
      <c r="L5" s="146" t="s">
        <v>57</v>
      </c>
      <c r="M5" s="146" t="s">
        <v>58</v>
      </c>
      <c r="N5" s="146" t="s">
        <v>59</v>
      </c>
    </row>
    <row r="6" spans="2:14" ht="20.25" customHeight="1" x14ac:dyDescent="0.25">
      <c r="B6" s="147" t="s">
        <v>60</v>
      </c>
      <c r="C6" s="148">
        <f ca="1">CONTCOR(B49,'ÁREAS CRÍTICAS'!C4:AG15,FALSE)</f>
        <v>0</v>
      </c>
      <c r="D6" s="147">
        <f ca="1">CONTCOR(B49,'ÁREAS CRÍTICAS'!AH4:BI15,FALSE)</f>
        <v>0</v>
      </c>
      <c r="E6" s="147">
        <f ca="1">CONTCOR(B49,'ÁREAS CRÍTICAS'!BJ4:CN15,FALSE)</f>
        <v>0</v>
      </c>
      <c r="F6" s="147">
        <f ca="1">CONTCOR(B49,'ÁREAS CRÍTICAS'!CO4:DR15,FALSE)</f>
        <v>0</v>
      </c>
      <c r="G6" s="147">
        <f ca="1">CONTCOR(B49,'ÁREAS CRÍTICAS'!DS4:EW15,FALSE)</f>
        <v>0</v>
      </c>
      <c r="H6" s="147">
        <f ca="1">CONTCOR(B49,'ÁREAS CRÍTICAS'!EX4:GA15,FALSE)</f>
        <v>0</v>
      </c>
      <c r="I6" s="147">
        <f ca="1">CONTCOR(B49,'ÁREAS CRÍTICAS'!GB4:HF15,FALSE)</f>
        <v>0</v>
      </c>
      <c r="J6" s="147">
        <f ca="1">CONTCOR(B49,'ÁREAS CRÍTICAS'!HG4:IK15,FALSE)</f>
        <v>0</v>
      </c>
      <c r="K6" s="147">
        <f ca="1">CONTCOR(B49,'ÁREAS CRÍTICAS'!IL4:JO15,FALSE)</f>
        <v>0</v>
      </c>
      <c r="L6" s="147">
        <f ca="1">CONTCOR(B49,'ÁREAS CRÍTICAS'!JP4:KT15,FALSE)</f>
        <v>0</v>
      </c>
      <c r="M6" s="147">
        <f ca="1">CONTCOR(B49,'ÁREAS CRÍTICAS'!KU4:LX15,FALSE)</f>
        <v>0</v>
      </c>
      <c r="N6" s="147">
        <f ca="1">CONTCOR(B49,'ÁREAS CRÍTICAS'!LY4:ND15,FALSE)</f>
        <v>0</v>
      </c>
    </row>
    <row r="7" spans="2:14" ht="20.25" customHeight="1" x14ac:dyDescent="0.25">
      <c r="B7" s="147" t="s">
        <v>61</v>
      </c>
      <c r="C7" s="147">
        <f ca="1">CONTCOR(B49,'ÁREAS CRÍTICAS'!C17:AG27,FALSE)</f>
        <v>0</v>
      </c>
      <c r="D7" s="147">
        <f ca="1">CONTCOR(B49,'ÁREAS CRÍTICAS'!AH17:BI27,FALSE)</f>
        <v>0</v>
      </c>
      <c r="E7" s="147">
        <f ca="1">CONTCOR(B49,'ÁREAS CRÍTICAS'!BJ17:CN27,FALSE)</f>
        <v>0</v>
      </c>
      <c r="F7" s="147">
        <f ca="1">CONTCOR(B49,'ÁREAS CRÍTICAS'!CO17:DR27,FALSE)</f>
        <v>0</v>
      </c>
      <c r="G7" s="147">
        <f ca="1">CONTCOR(B49,'ÁREAS CRÍTICAS'!DS4:EW15,FALSE)</f>
        <v>0</v>
      </c>
      <c r="H7" s="147">
        <f ca="1">CONTCOR(B49,'ÁREAS CRÍTICAS'!EX4:GA15,FALSE)</f>
        <v>0</v>
      </c>
      <c r="I7" s="147">
        <f ca="1">CONTCOR(B49,'ÁREAS CRÍTICAS'!GB4:HF15,FALSE)</f>
        <v>0</v>
      </c>
      <c r="J7" s="147">
        <f ca="1">CONTCOR(B49,'ÁREAS CRÍTICAS'!HG4:IK15,FALSE)</f>
        <v>0</v>
      </c>
      <c r="K7" s="147">
        <f ca="1">CONTCOR(B49,'ÁREAS CRÍTICAS'!IL4:JO15,FALSE)</f>
        <v>0</v>
      </c>
      <c r="L7" s="147">
        <f ca="1">CONTCOR(B49,'ÁREAS CRÍTICAS'!JP4:KT15,FALSE)</f>
        <v>0</v>
      </c>
      <c r="M7" s="147">
        <f ca="1">CONTCOR(B49,'ÁREAS CRÍTICAS'!KU4:LX15,FALSE)</f>
        <v>0</v>
      </c>
      <c r="N7" s="147">
        <f ca="1">CONTCOR(B49,'ÁREAS CRÍTICAS'!LY4:ND15,FALSE)</f>
        <v>0</v>
      </c>
    </row>
    <row r="8" spans="2:14" ht="20.25" customHeight="1" x14ac:dyDescent="0.25">
      <c r="B8" s="147" t="s">
        <v>62</v>
      </c>
      <c r="C8" s="147">
        <f ca="1">CONTCOR(B49,'ÁREAS CRÍTICAS'!C29:AG30,FALSE)</f>
        <v>0</v>
      </c>
      <c r="D8" s="147">
        <f ca="1">CONTCOR(B49,'ÁREAS CRÍTICAS'!AH29:BI30,FALSE)</f>
        <v>0</v>
      </c>
      <c r="E8" s="147">
        <f ca="1">CONTCOR(B49,'ÁREAS CRÍTICAS'!BJ29:CN30,FALSE)</f>
        <v>0</v>
      </c>
      <c r="F8" s="147">
        <f ca="1">CONTCOR(B49,'ÁREAS CRÍTICAS'!CO29:DR30,FALSE)</f>
        <v>0</v>
      </c>
      <c r="G8" s="147">
        <f ca="1">CONTCOR(B49,'ÁREAS CRÍTICAS'!DS4:EW15,FALSE)</f>
        <v>0</v>
      </c>
      <c r="H8" s="147">
        <f ca="1">CONTCOR(B49,'ÁREAS CRÍTICAS'!EX4:GA15,FALSE)</f>
        <v>0</v>
      </c>
      <c r="I8" s="147">
        <f ca="1">CONTCOR(B49,'ÁREAS CRÍTICAS'!GB4:HF15,FALSE)</f>
        <v>0</v>
      </c>
      <c r="J8" s="147">
        <f ca="1">CONTCOR(B49,'ÁREAS CRÍTICAS'!HG4:IK15,FALSE)</f>
        <v>0</v>
      </c>
      <c r="K8" s="147">
        <f ca="1">CONTCOR(B49,'ÁREAS CRÍTICAS'!IL4:JO15,FALSE)</f>
        <v>0</v>
      </c>
      <c r="L8" s="147">
        <f ca="1">CONTCOR(B49,'ÁREAS CRÍTICAS'!JP4:KT15,FALSE)</f>
        <v>0</v>
      </c>
      <c r="M8" s="147">
        <f ca="1">CONTCOR(B49,'ÁREAS CRÍTICAS'!KU4:LX15,FALSE)</f>
        <v>0</v>
      </c>
      <c r="N8" s="147">
        <f ca="1">CONTCOR(B49,'ÁREAS CRÍTICAS'!LY4:ND15,FALSE)</f>
        <v>0</v>
      </c>
    </row>
    <row r="9" spans="2:14" ht="20.25" customHeight="1" x14ac:dyDescent="0.3">
      <c r="B9" s="149" t="s">
        <v>63</v>
      </c>
      <c r="C9" s="149">
        <f ca="1">SUM(C6:C8)</f>
        <v>0</v>
      </c>
      <c r="D9" s="149">
        <f t="shared" ref="D9:N9" ca="1" si="0">SUM(D6:D8)</f>
        <v>0</v>
      </c>
      <c r="E9" s="149">
        <f t="shared" ca="1" si="0"/>
        <v>0</v>
      </c>
      <c r="F9" s="149">
        <f t="shared" ca="1" si="0"/>
        <v>0</v>
      </c>
      <c r="G9" s="149">
        <f t="shared" ca="1" si="0"/>
        <v>0</v>
      </c>
      <c r="H9" s="149">
        <f t="shared" ca="1" si="0"/>
        <v>0</v>
      </c>
      <c r="I9" s="149">
        <f t="shared" ca="1" si="0"/>
        <v>0</v>
      </c>
      <c r="J9" s="149">
        <f t="shared" ca="1" si="0"/>
        <v>0</v>
      </c>
      <c r="K9" s="149">
        <f t="shared" ca="1" si="0"/>
        <v>0</v>
      </c>
      <c r="L9" s="149">
        <f t="shared" ca="1" si="0"/>
        <v>0</v>
      </c>
      <c r="M9" s="149">
        <f t="shared" ca="1" si="0"/>
        <v>0</v>
      </c>
      <c r="N9" s="149">
        <f t="shared" ca="1" si="0"/>
        <v>0</v>
      </c>
    </row>
    <row r="10" spans="2:14" ht="20.25" customHeight="1" x14ac:dyDescent="0.25">
      <c r="B10" s="147" t="s">
        <v>65</v>
      </c>
      <c r="C10" s="147">
        <f ca="1">C6-COUNTIF('ÁREAS CRÍTICAS'!C4:AG15,"RP")</f>
        <v>0</v>
      </c>
      <c r="D10" s="147">
        <f ca="1">D6-COUNTIF('ÁREAS CRÍTICAS'!AH4:BI15,"RP")</f>
        <v>0</v>
      </c>
      <c r="E10" s="147">
        <f ca="1">E6-COUNTIF('ÁREAS CRÍTICAS'!BJ4:CN15,"RP")</f>
        <v>0</v>
      </c>
      <c r="F10" s="147">
        <f ca="1">F6-COUNTIF('ÁREAS CRÍTICAS'!CO4:DR15,"RP")</f>
        <v>0</v>
      </c>
      <c r="G10" s="147">
        <f ca="1">G6-COUNTIF('ÁREAS CRÍTICAS'!DS4:EW15,"RP")</f>
        <v>0</v>
      </c>
      <c r="H10" s="147">
        <f ca="1">H6-COUNTIF('ÁREAS CRÍTICAS'!EX4:GA15,"RP")</f>
        <v>0</v>
      </c>
      <c r="I10" s="147">
        <f ca="1">I6-COUNTIF('ÁREAS CRÍTICAS'!GB4:HF15,"RP")</f>
        <v>0</v>
      </c>
      <c r="J10" s="147">
        <f ca="1">J6-COUNTIF('ÁREAS CRÍTICAS'!HG4:IK15,"RP")</f>
        <v>0</v>
      </c>
      <c r="K10" s="147">
        <f ca="1">K6-COUNTIF('ÁREAS CRÍTICAS'!IL4:JO15,"RP")</f>
        <v>0</v>
      </c>
      <c r="L10" s="147">
        <f ca="1">L6-COUNTIF('ÁREAS CRÍTICAS'!JP4:KT15,"RP")</f>
        <v>0</v>
      </c>
      <c r="M10" s="147">
        <f ca="1">M6-COUNTIF('ÁREAS CRÍTICAS'!KU4:LX15,"RP")</f>
        <v>0</v>
      </c>
      <c r="N10" s="147">
        <f ca="1">N6-COUNTIF('ÁREAS CRÍTICAS'!LY4:ND15,"RP")</f>
        <v>0</v>
      </c>
    </row>
    <row r="11" spans="2:14" ht="20.25" customHeight="1" x14ac:dyDescent="0.25">
      <c r="B11" s="147" t="s">
        <v>66</v>
      </c>
      <c r="C11" s="147">
        <f ca="1">C7-COUNTIF('ÁREAS CRÍTICAS'!C17:AG27,"RP")</f>
        <v>0</v>
      </c>
      <c r="D11" s="147">
        <f ca="1">D7-COUNTIF('ÁREAS CRÍTICAS'!AH17:BI27,"RP")</f>
        <v>0</v>
      </c>
      <c r="E11" s="147">
        <f ca="1">E7-COUNTIF('ÁREAS CRÍTICAS'!BJ17:CN27,"RP")</f>
        <v>0</v>
      </c>
      <c r="F11" s="147">
        <f ca="1">F7-COUNTIF('ÁREAS CRÍTICAS'!CO17:DR27,"RP")</f>
        <v>0</v>
      </c>
      <c r="G11" s="147">
        <f ca="1">G7-COUNTIF('ÁREAS CRÍTICAS'!DS17:EW27,"RP")</f>
        <v>0</v>
      </c>
      <c r="H11" s="147">
        <f ca="1">H7-COUNTIF('ÁREAS CRÍTICAS'!EX17:GA27,"RP")</f>
        <v>0</v>
      </c>
      <c r="I11" s="147">
        <f ca="1">I7-COUNTIF('ÁREAS CRÍTICAS'!GB17:HF27,"RP")</f>
        <v>0</v>
      </c>
      <c r="J11" s="147">
        <f ca="1">J7-COUNTIF('ÁREAS CRÍTICAS'!HG17:IK27,"RP")</f>
        <v>0</v>
      </c>
      <c r="K11" s="147">
        <f ca="1">K7-COUNTIF('ÁREAS CRÍTICAS'!IL17:JO27,"RP")</f>
        <v>0</v>
      </c>
      <c r="L11" s="147">
        <f ca="1">L7-COUNTIF('ÁREAS CRÍTICAS'!JP17:KT27,"RP")</f>
        <v>0</v>
      </c>
      <c r="M11" s="147">
        <f ca="1">M7-COUNTIF('ÁREAS CRÍTICAS'!KU17:LX27,"RP")</f>
        <v>0</v>
      </c>
      <c r="N11" s="147">
        <f ca="1">N7-COUNTIF('ÁREAS CRÍTICAS'!LY17:ND27,"RP")</f>
        <v>0</v>
      </c>
    </row>
    <row r="12" spans="2:14" ht="20.25" customHeight="1" x14ac:dyDescent="0.25">
      <c r="B12" s="147" t="s">
        <v>67</v>
      </c>
      <c r="C12" s="147">
        <f ca="1">C8-COUNTIF('ÁREAS CRÍTICAS'!C29:AG30,"RP")</f>
        <v>0</v>
      </c>
      <c r="D12" s="147">
        <f ca="1">D8-COUNTIF('ÁREAS CRÍTICAS'!AH29:BI30,"RP")</f>
        <v>0</v>
      </c>
      <c r="E12" s="147">
        <f ca="1">E8-COUNTIF('ÁREAS CRÍTICAS'!BJ29:CN30,"RP")</f>
        <v>0</v>
      </c>
      <c r="F12" s="147">
        <f ca="1">F8-COUNTIF('ÁREAS CRÍTICAS'!CO29:DR30,"RP")</f>
        <v>0</v>
      </c>
      <c r="G12" s="147">
        <f ca="1">G8-COUNTIF('ÁREAS CRÍTICAS'!DS29:EW30,"RP")</f>
        <v>0</v>
      </c>
      <c r="H12" s="147">
        <f ca="1">H8-COUNTIF('ÁREAS CRÍTICAS'!EX29:GA30,"RP")</f>
        <v>0</v>
      </c>
      <c r="I12" s="147">
        <f ca="1">I8-COUNTIF('ÁREAS CRÍTICAS'!GB29:HF30,"RP")</f>
        <v>0</v>
      </c>
      <c r="J12" s="147">
        <f ca="1">J8-COUNTIF('ÁREAS CRÍTICAS'!HG29:IK30,"RP")</f>
        <v>0</v>
      </c>
      <c r="K12" s="147">
        <f ca="1">K8-COUNTIF('ÁREAS CRÍTICAS'!IL29:JO30,"RP")</f>
        <v>0</v>
      </c>
      <c r="L12" s="147">
        <f ca="1">L8-COUNTIF('ÁREAS CRÍTICAS'!JP29:KT30,"RP")</f>
        <v>0</v>
      </c>
      <c r="M12" s="147">
        <f ca="1">M8-COUNTIF('ÁREAS CRÍTICAS'!KU29:LX30,"RP")</f>
        <v>0</v>
      </c>
      <c r="N12" s="147">
        <f ca="1">N8-COUNTIF('ÁREAS CRÍTICAS'!LY29:ND30,"RP")</f>
        <v>0</v>
      </c>
    </row>
    <row r="13" spans="2:14" ht="21.75" customHeight="1" x14ac:dyDescent="0.3">
      <c r="B13" s="149" t="s">
        <v>64</v>
      </c>
      <c r="C13" s="149">
        <f ca="1">C10+C11+C12</f>
        <v>0</v>
      </c>
      <c r="D13" s="149">
        <f t="shared" ref="D13:N13" ca="1" si="1">D10+D11+D12</f>
        <v>0</v>
      </c>
      <c r="E13" s="149">
        <f t="shared" ca="1" si="1"/>
        <v>0</v>
      </c>
      <c r="F13" s="149">
        <f t="shared" ca="1" si="1"/>
        <v>0</v>
      </c>
      <c r="G13" s="149">
        <f t="shared" ca="1" si="1"/>
        <v>0</v>
      </c>
      <c r="H13" s="149">
        <f t="shared" ca="1" si="1"/>
        <v>0</v>
      </c>
      <c r="I13" s="149">
        <f t="shared" ca="1" si="1"/>
        <v>0</v>
      </c>
      <c r="J13" s="149">
        <f t="shared" ca="1" si="1"/>
        <v>0</v>
      </c>
      <c r="K13" s="149">
        <f t="shared" ca="1" si="1"/>
        <v>0</v>
      </c>
      <c r="L13" s="149">
        <f t="shared" ca="1" si="1"/>
        <v>0</v>
      </c>
      <c r="M13" s="149">
        <f t="shared" ca="1" si="1"/>
        <v>0</v>
      </c>
      <c r="N13" s="149">
        <f t="shared" ca="1" si="1"/>
        <v>0</v>
      </c>
    </row>
    <row r="14" spans="2:14" ht="15" customHeight="1" x14ac:dyDescent="0.25"/>
    <row r="15" spans="2:14" ht="15" customHeight="1" x14ac:dyDescent="0.25"/>
    <row r="16" spans="2:14" ht="21.75" customHeight="1" x14ac:dyDescent="0.35">
      <c r="B16" s="176" t="s">
        <v>70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</row>
    <row r="17" spans="2:14" ht="43.5" customHeight="1" x14ac:dyDescent="0.25">
      <c r="B17" s="145" t="s">
        <v>68</v>
      </c>
      <c r="C17" s="146" t="s">
        <v>48</v>
      </c>
      <c r="D17" s="146" t="s">
        <v>49</v>
      </c>
      <c r="E17" s="146" t="s">
        <v>50</v>
      </c>
      <c r="F17" s="146" t="s">
        <v>51</v>
      </c>
      <c r="G17" s="146" t="s">
        <v>52</v>
      </c>
      <c r="H17" s="146" t="s">
        <v>53</v>
      </c>
      <c r="I17" s="146" t="s">
        <v>54</v>
      </c>
      <c r="J17" s="146" t="s">
        <v>55</v>
      </c>
      <c r="K17" s="146" t="s">
        <v>56</v>
      </c>
      <c r="L17" s="146" t="s">
        <v>57</v>
      </c>
      <c r="M17" s="146" t="s">
        <v>58</v>
      </c>
      <c r="N17" s="146" t="s">
        <v>59</v>
      </c>
    </row>
    <row r="18" spans="2:14" ht="20.25" customHeight="1" x14ac:dyDescent="0.25">
      <c r="B18" s="147" t="s">
        <v>71</v>
      </c>
      <c r="C18" s="148">
        <f ca="1">CONTCOR(B49,'SEMI CRÍTICAS'!C4:AG15,FALSE)</f>
        <v>0</v>
      </c>
      <c r="D18" s="147">
        <f ca="1">CONTCOR(B49,'SEMI CRÍTICAS'!AH4:BI15,FALSE)</f>
        <v>0</v>
      </c>
      <c r="E18" s="147">
        <f ca="1">CONTCOR(B49,'SEMI CRÍTICAS'!BJ4:CN15,FALSE)</f>
        <v>0</v>
      </c>
      <c r="F18" s="147">
        <f ca="1">CONTCOR(B49,'SEMI CRÍTICAS'!CO4:DR15,FALSE)</f>
        <v>0</v>
      </c>
      <c r="G18" s="147">
        <f ca="1">CONTCOR(B49,'SEMI CRÍTICAS'!DS4:EW15,FALSE)</f>
        <v>0</v>
      </c>
      <c r="H18" s="147">
        <f ca="1">CONTCOR(B49,'SEMI CRÍTICAS'!EX4:GA15,FALSE)</f>
        <v>0</v>
      </c>
      <c r="I18" s="147">
        <f ca="1">CONTCOR(B49,'SEMI CRÍTICAS'!GB4:HF15,FALSE)</f>
        <v>0</v>
      </c>
      <c r="J18" s="147">
        <f ca="1">CONTCOR(B49,'SEMI CRÍTICAS'!HG4:IK15,FALSE)</f>
        <v>0</v>
      </c>
      <c r="K18" s="147">
        <f ca="1">CONTCOR(B49,'SEMI CRÍTICAS'!IL4:JO15,FALSE)</f>
        <v>0</v>
      </c>
      <c r="L18" s="147">
        <f ca="1">CONTCOR(B49,'SEMI CRÍTICAS'!JP4:KT15,FALSE)</f>
        <v>0</v>
      </c>
      <c r="M18" s="147">
        <f ca="1">CONTCOR(B49,'SEMI CRÍTICAS'!KU4:LX15,FALSE)</f>
        <v>0</v>
      </c>
      <c r="N18" s="147">
        <f ca="1">CONTCOR(B49,'SEMI CRÍTICAS'!LY4:NC15,FALSE)</f>
        <v>0</v>
      </c>
    </row>
    <row r="19" spans="2:14" ht="20.25" customHeight="1" x14ac:dyDescent="0.25">
      <c r="B19" s="147" t="s">
        <v>72</v>
      </c>
      <c r="C19" s="147">
        <f ca="1">CONTCOR(B49,'SEMI CRÍTICAS'!C17:AG25,FALSE)</f>
        <v>0</v>
      </c>
      <c r="D19" s="147">
        <f ca="1">CONTCOR(B49,'SEMI CRÍTICAS'!AH7:BI25,FALSE)</f>
        <v>0</v>
      </c>
      <c r="E19" s="147">
        <f ca="1">CONTCOR(B49,'SEMI CRÍTICAS'!BJ17:CN25,FALSE)</f>
        <v>0</v>
      </c>
      <c r="F19" s="147">
        <f ca="1">CONTCOR(B49,'SEMI CRÍTICAS'!CO17:DR25,FALSE)</f>
        <v>0</v>
      </c>
      <c r="G19" s="147">
        <f ca="1">CONTCOR(B49,'SEMI CRÍTICAS'!DS17:EW25,FALSE)</f>
        <v>0</v>
      </c>
      <c r="H19" s="147">
        <f ca="1">CONTCOR(B49,'SEMI CRÍTICAS'!EX17:GA25,FALSE)</f>
        <v>0</v>
      </c>
      <c r="I19" s="147">
        <f ca="1">CONTCOR(B49,'SEMI CRÍTICAS'!GB17:HF25,FALSE)</f>
        <v>0</v>
      </c>
      <c r="J19" s="147">
        <f ca="1">CONTCOR(B49,'SEMI CRÍTICAS'!HG17:IK25,FALSE)</f>
        <v>0</v>
      </c>
      <c r="K19" s="147">
        <f ca="1">CONTCOR(B49,'SEMI CRÍTICAS'!IL17:JO25,FALSE)</f>
        <v>0</v>
      </c>
      <c r="L19" s="147">
        <f ca="1">CONTCOR(B49,'SEMI CRÍTICAS'!JP17:KT25,FALSE)</f>
        <v>0</v>
      </c>
      <c r="M19" s="147">
        <f ca="1">CONTCOR(B49,'SEMI CRÍTICAS'!KU17:LX25,FALSE)</f>
        <v>0</v>
      </c>
      <c r="N19" s="147">
        <f ca="1">CONTCOR(B49,'SEMI CRÍTICAS'!LY17:NC25,FALSE)</f>
        <v>0</v>
      </c>
    </row>
    <row r="20" spans="2:14" ht="20.25" customHeight="1" x14ac:dyDescent="0.25">
      <c r="B20" s="147" t="s">
        <v>73</v>
      </c>
      <c r="C20" s="147">
        <f ca="1">CONTCOR(B49,'SEMI CRÍTICAS'!C27:AG39,FALSE)</f>
        <v>0</v>
      </c>
      <c r="D20" s="147">
        <f ca="1">CONTCOR(B49,'SEMI CRÍTICAS'!AH27:BI39,FALSE)</f>
        <v>0</v>
      </c>
      <c r="E20" s="147">
        <f ca="1">CONTCOR(B49,'SEMI CRÍTICAS'!BJ27:CN39,FALSE)</f>
        <v>0</v>
      </c>
      <c r="F20" s="147">
        <f ca="1">CONTCOR(B49,'SEMI CRÍTICAS'!CO27:DR39,FALSE)</f>
        <v>0</v>
      </c>
      <c r="G20" s="147">
        <f ca="1">CONTCOR(B49,'SEMI CRÍTICAS'!DS27:EW39,FALSE)</f>
        <v>0</v>
      </c>
      <c r="H20" s="147">
        <f ca="1">CONTCOR(B49,'SEMI CRÍTICAS'!EX27:GA39,FALSE)</f>
        <v>0</v>
      </c>
      <c r="I20" s="147">
        <f ca="1">CONTCOR(B49,'SEMI CRÍTICAS'!GB27:HF39,FALSE)</f>
        <v>0</v>
      </c>
      <c r="J20" s="147">
        <f ca="1">CONTCOR(B49,'SEMI CRÍTICAS'!HG27:IK39,FALSE)</f>
        <v>0</v>
      </c>
      <c r="K20" s="147">
        <f ca="1">CONTCOR(B49,'SEMI CRÍTICAS'!IL27:JO39,FALSE)</f>
        <v>0</v>
      </c>
      <c r="L20" s="147">
        <f ca="1">CONTCOR(B49,'SEMI CRÍTICAS'!JP27:KT39,FALSE)</f>
        <v>0</v>
      </c>
      <c r="M20" s="147">
        <f ca="1">CONTCOR(B49,'SEMI CRÍTICAS'!KU27:LX39,FALSE)</f>
        <v>0</v>
      </c>
      <c r="N20" s="147">
        <f ca="1">CONTCOR(B49,'SEMI CRÍTICAS'!LY27:NC39,FALSE)</f>
        <v>0</v>
      </c>
    </row>
    <row r="21" spans="2:14" ht="20.25" customHeight="1" x14ac:dyDescent="0.3">
      <c r="B21" s="150" t="s">
        <v>63</v>
      </c>
      <c r="C21" s="150">
        <f ca="1">C18+C19+C20</f>
        <v>0</v>
      </c>
      <c r="D21" s="150">
        <f t="shared" ref="D21:N21" ca="1" si="2">D18+D19+D20</f>
        <v>0</v>
      </c>
      <c r="E21" s="150">
        <f t="shared" ca="1" si="2"/>
        <v>0</v>
      </c>
      <c r="F21" s="150">
        <f t="shared" ca="1" si="2"/>
        <v>0</v>
      </c>
      <c r="G21" s="150">
        <f t="shared" ca="1" si="2"/>
        <v>0</v>
      </c>
      <c r="H21" s="150">
        <f t="shared" ca="1" si="2"/>
        <v>0</v>
      </c>
      <c r="I21" s="150">
        <f t="shared" ca="1" si="2"/>
        <v>0</v>
      </c>
      <c r="J21" s="150">
        <f t="shared" ca="1" si="2"/>
        <v>0</v>
      </c>
      <c r="K21" s="150">
        <f t="shared" ca="1" si="2"/>
        <v>0</v>
      </c>
      <c r="L21" s="150">
        <f t="shared" ca="1" si="2"/>
        <v>0</v>
      </c>
      <c r="M21" s="150">
        <f t="shared" ca="1" si="2"/>
        <v>0</v>
      </c>
      <c r="N21" s="150">
        <f t="shared" ca="1" si="2"/>
        <v>0</v>
      </c>
    </row>
    <row r="22" spans="2:14" ht="20.25" customHeight="1" x14ac:dyDescent="0.25">
      <c r="B22" s="147" t="s">
        <v>74</v>
      </c>
      <c r="C22" s="147">
        <f ca="1">C18-COUNTIF('SEMI CRÍTICAS'!C4:AG15,"RP")</f>
        <v>0</v>
      </c>
      <c r="D22" s="147">
        <f ca="1">D18-COUNTIF('SEMI CRÍTICAS'!AH4:BI15,"RP")</f>
        <v>0</v>
      </c>
      <c r="E22" s="147">
        <f ca="1">E18-COUNTIF('SEMI CRÍTICAS'!BJ4:CN15,"RP")</f>
        <v>0</v>
      </c>
      <c r="F22" s="147">
        <f ca="1">F18-COUNTIF('SEMI CRÍTICAS'!CO4:DR15,"RP")</f>
        <v>0</v>
      </c>
      <c r="G22" s="147">
        <f ca="1">G18-COUNTIF('SEMI CRÍTICAS'!DS4:EW15,"RP")</f>
        <v>0</v>
      </c>
      <c r="H22" s="147">
        <f ca="1">H18-COUNTIF('SEMI CRÍTICAS'!EX4:GA15,"RP")</f>
        <v>0</v>
      </c>
      <c r="I22" s="147">
        <f ca="1">I18-COUNTIF('SEMI CRÍTICAS'!GB4:HF15,"RP")</f>
        <v>0</v>
      </c>
      <c r="J22" s="147">
        <f ca="1">J18-COUNTIF('SEMI CRÍTICAS'!HG4:IK15,"RP")</f>
        <v>0</v>
      </c>
      <c r="K22" s="147">
        <f ca="1">K18-COUNTIF('SEMI CRÍTICAS'!IL4:JO15,"RP")</f>
        <v>0</v>
      </c>
      <c r="L22" s="147">
        <f ca="1">L18-COUNTIF('SEMI CRÍTICAS'!JP4:KT15,"RP")</f>
        <v>0</v>
      </c>
      <c r="M22" s="147">
        <f ca="1">M18-COUNTIF('SEMI CRÍTICAS'!KU4:LX15,"RP")</f>
        <v>0</v>
      </c>
      <c r="N22" s="147">
        <f ca="1">N18-COUNTIF('SEMI CRÍTICAS'!LY4:NC15,"RP")</f>
        <v>0</v>
      </c>
    </row>
    <row r="23" spans="2:14" ht="20.25" customHeight="1" x14ac:dyDescent="0.25">
      <c r="B23" s="147" t="s">
        <v>75</v>
      </c>
      <c r="C23" s="147">
        <f ca="1">C19-COUNTIF('SEMI CRÍTICAS'!C17:AG25,"RP")</f>
        <v>0</v>
      </c>
      <c r="D23" s="147">
        <f ca="1">D19-COUNTIF('SEMI CRÍTICAS'!AH17:BI25,"RP")</f>
        <v>0</v>
      </c>
      <c r="E23" s="147">
        <f ca="1">E19-COUNTIF('SEMI CRÍTICAS'!BJ17:CN25,"RP")</f>
        <v>0</v>
      </c>
      <c r="F23" s="147">
        <f ca="1">F19-COUNTIF('SEMI CRÍTICAS'!CO17:DR25,"RP")</f>
        <v>0</v>
      </c>
      <c r="G23" s="147">
        <f ca="1">G19-COUNTIF('SEMI CRÍTICAS'!DS17:EW25,"RP")</f>
        <v>0</v>
      </c>
      <c r="H23" s="147">
        <f ca="1">H19-COUNTIF('SEMI CRÍTICAS'!EX17:GA25,"RP")</f>
        <v>0</v>
      </c>
      <c r="I23" s="147">
        <f ca="1">I19-COUNTIF('SEMI CRÍTICAS'!GB17:HF25,"RP")</f>
        <v>0</v>
      </c>
      <c r="J23" s="147">
        <f ca="1">J19-COUNTIF('SEMI CRÍTICAS'!HG17:IK25,"RP")</f>
        <v>0</v>
      </c>
      <c r="K23" s="147">
        <f ca="1">K19-COUNTIF('SEMI CRÍTICAS'!IL17:JO25,"RP")</f>
        <v>0</v>
      </c>
      <c r="L23" s="147">
        <f ca="1">L19-COUNTIF('SEMI CRÍTICAS'!JP17:KT25,"RP")</f>
        <v>0</v>
      </c>
      <c r="M23" s="147">
        <f ca="1">M19-COUNTIF('SEMI CRÍTICAS'!KU17:LX25,"RP")</f>
        <v>0</v>
      </c>
      <c r="N23" s="147">
        <f ca="1">N19-COUNTIF('SEMI CRÍTICAS'!LY17:NC25,"RP")</f>
        <v>0</v>
      </c>
    </row>
    <row r="24" spans="2:14" ht="20.25" customHeight="1" x14ac:dyDescent="0.25">
      <c r="B24" s="147" t="s">
        <v>76</v>
      </c>
      <c r="C24" s="147">
        <f ca="1">C20-COUNTIF('SEMI CRÍTICAS'!C27:AG39,"RP")</f>
        <v>0</v>
      </c>
      <c r="D24" s="147">
        <f ca="1">D20-COUNTIF('SEMI CRÍTICAS'!AH27:BI39,"RP")</f>
        <v>0</v>
      </c>
      <c r="E24" s="147">
        <f ca="1">E20-COUNTIF('SEMI CRÍTICAS'!BJ27:CN39,"RP")</f>
        <v>0</v>
      </c>
      <c r="F24" s="147">
        <f ca="1">F20-COUNTIF('SEMI CRÍTICAS'!CO27:DR39,"RP")</f>
        <v>0</v>
      </c>
      <c r="G24" s="147">
        <f ca="1">G20-COUNTIF('SEMI CRÍTICAS'!DS27:EW39,"RP")</f>
        <v>0</v>
      </c>
      <c r="H24" s="147">
        <f ca="1">H20-COUNTIF('SEMI CRÍTICAS'!EX27:GA39,"RP")</f>
        <v>0</v>
      </c>
      <c r="I24" s="147">
        <f ca="1">I20-COUNTIF('SEMI CRÍTICAS'!GB27:HF39,"RP")</f>
        <v>0</v>
      </c>
      <c r="J24" s="147">
        <f ca="1">J20-COUNTIF('SEMI CRÍTICAS'!HG27:IK39,"RP")</f>
        <v>0</v>
      </c>
      <c r="K24" s="147">
        <f ca="1">K20-COUNTIF('SEMI CRÍTICAS'!IL27:JO39,"RP")</f>
        <v>0</v>
      </c>
      <c r="L24" s="147">
        <f ca="1">L20-COUNTIF('SEMI CRÍTICAS'!JP27:KT39,"RP")</f>
        <v>0</v>
      </c>
      <c r="M24" s="147">
        <f ca="1">M20-COUNTIF('SEMI CRÍTICAS'!KU27:LX39,"RP")</f>
        <v>0</v>
      </c>
      <c r="N24" s="147">
        <f ca="1">N20-COUNTIF('SEMI CRÍTICAS'!LY27:NC39,"RP")</f>
        <v>0</v>
      </c>
    </row>
    <row r="25" spans="2:14" ht="20.25" customHeight="1" x14ac:dyDescent="0.3">
      <c r="B25" s="150" t="s">
        <v>64</v>
      </c>
      <c r="C25" s="150">
        <f ca="1">C22+C23+C24</f>
        <v>0</v>
      </c>
      <c r="D25" s="150">
        <f t="shared" ref="D25:N25" ca="1" si="3">D22+D23+D24</f>
        <v>0</v>
      </c>
      <c r="E25" s="150">
        <f t="shared" ca="1" si="3"/>
        <v>0</v>
      </c>
      <c r="F25" s="150">
        <f t="shared" ca="1" si="3"/>
        <v>0</v>
      </c>
      <c r="G25" s="150">
        <f t="shared" ca="1" si="3"/>
        <v>0</v>
      </c>
      <c r="H25" s="150">
        <f t="shared" ca="1" si="3"/>
        <v>0</v>
      </c>
      <c r="I25" s="150">
        <f t="shared" ca="1" si="3"/>
        <v>0</v>
      </c>
      <c r="J25" s="150">
        <f t="shared" ca="1" si="3"/>
        <v>0</v>
      </c>
      <c r="K25" s="150">
        <f t="shared" ca="1" si="3"/>
        <v>0</v>
      </c>
      <c r="L25" s="150">
        <f t="shared" ca="1" si="3"/>
        <v>0</v>
      </c>
      <c r="M25" s="150">
        <f t="shared" ca="1" si="3"/>
        <v>0</v>
      </c>
      <c r="N25" s="150">
        <f t="shared" ca="1" si="3"/>
        <v>0</v>
      </c>
    </row>
    <row r="49" spans="2:2" hidden="1" x14ac:dyDescent="0.25">
      <c r="B49" s="177"/>
    </row>
  </sheetData>
  <mergeCells count="2">
    <mergeCell ref="B4:N4"/>
    <mergeCell ref="B16:N1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DIário</vt:lpstr>
      <vt:lpstr>Semanal</vt:lpstr>
      <vt:lpstr>ÁREAS CRÍTICAS</vt:lpstr>
      <vt:lpstr>SEMI CRÍTICAS</vt:lpstr>
      <vt:lpstr>Relatório Diário</vt:lpstr>
      <vt:lpstr>Indicador</vt:lpstr>
      <vt:lpstr>'ÁREAS CRÍTICAS'!Area_de_impressao</vt:lpstr>
      <vt:lpstr>'SEMI CRÍTICAS'!Area_de_impressao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 Rodrigues Silveira</cp:lastModifiedBy>
  <dcterms:created xsi:type="dcterms:W3CDTF">2021-12-18T18:31:19Z</dcterms:created>
  <dcterms:modified xsi:type="dcterms:W3CDTF">2022-05-23T15:09:31Z</dcterms:modified>
</cp:coreProperties>
</file>